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abor" sheetId="2" state="visible" r:id="rId2"/>
    <sheet name="Subscriptions" sheetId="3" state="visible" r:id="rId3"/>
    <sheet name="Infrastructure" sheetId="4" state="visible" r:id="rId4"/>
    <sheet name="One-Time" sheetId="5" state="visible" r:id="rId5"/>
    <sheet name="Production Run-Rate" sheetId="6" state="visible" r:id="rId6"/>
    <sheet name="Token Estimates" sheetId="7" state="visible" r:id="rId7"/>
    <sheet name="Assumptions" sheetId="8" state="visible" r:id="rId8"/>
    <sheet name="Actuals Log" sheetId="9" state="visible" r:id="rId9"/>
  </sheets>
  <definedNames>
    <definedName name="LABOR_HOURS_TOTAL">Labor!$E$64</definedName>
    <definedName name="LABOR_EFFECTIVE_HOURS">Labor!$E$68</definedName>
    <definedName name="LABOR_COST">Labor!$G$68</definedName>
    <definedName name="SUBS_REQUIRED_TOTAL">Subscriptions!$F$12</definedName>
    <definedName name="SUBS_ALL_TOTAL">Subscriptions!$F$13</definedName>
    <definedName name="INFRA_DEV_TOTAL">Infrastructure!$F$11</definedName>
    <definedName name="INFRA_PROD_TOTAL">Infrastructure!$F$21</definedName>
    <definedName name="INFRA_3P_TOTAL">Infrastructure!$F$27</definedName>
    <definedName name="INFRA_GRAND_TOTAL">Infrastructure!$F$29</definedName>
    <definedName name="ONETIME_TOTAL">'One-Time'!$C$18</definedName>
    <definedName name="RUNRATE_MONTHLY">'Production Run-Rate'!$C$19</definedName>
    <definedName name="RUNRATE_ANNUAL">'Production Run-Rate'!$D$19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&quot;$&quot;#,##0"/>
    <numFmt numFmtId="166" formatCode="&quot;$&quot;#,##0.00"/>
    <numFmt numFmtId="167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9CA3AF"/>
      <sz val="10"/>
    </font>
    <font>
      <name val="Calibri"/>
      <b val="1"/>
      <sz val="10"/>
    </font>
    <font>
      <name val="Calibri"/>
      <b val="1"/>
      <color rgb="001F3A5F"/>
      <sz val="11"/>
    </font>
    <font>
      <name val="Calibri"/>
      <b val="1"/>
      <color rgb="001F3A5F"/>
      <sz val="18"/>
    </font>
    <font>
      <name val="Calibri"/>
      <i val="1"/>
      <color rgb="00475569"/>
      <sz val="11"/>
    </font>
    <font>
      <name val="Calibri"/>
      <b val="1"/>
      <color rgb="002A7F62"/>
      <sz val="11"/>
    </font>
    <font>
      <name val="Calibri"/>
      <b val="1"/>
      <color rgb="00D98E04"/>
      <sz val="11"/>
    </font>
    <font>
      <name val="Calibri"/>
      <b val="1"/>
      <color rgb="00FFFFFF"/>
      <sz val="12"/>
    </font>
    <font>
      <name val="Calibri"/>
      <b val="1"/>
      <color rgb="007C3AED"/>
      <sz val="11"/>
    </font>
    <font>
      <name val="Calibri"/>
      <b val="1"/>
      <color rgb="001F3A5F"/>
      <sz val="12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4F6"/>
      </patternFill>
    </fill>
    <fill>
      <patternFill patternType="solid">
        <fgColor rgb="00F1F5F9"/>
      </patternFill>
    </fill>
    <fill>
      <patternFill patternType="solid">
        <fgColor rgb="00CBD5E1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3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0" fontId="10" fillId="4" borderId="1" pivotButton="0" quotePrefix="0" xfId="0"/>
    <xf numFmtId="166" fontId="0" fillId="0" borderId="1" pivotButton="0" quotePrefix="0" xfId="0"/>
    <xf numFmtId="0" fontId="11" fillId="2" borderId="1" pivotButton="0" quotePrefix="0" xfId="0"/>
    <xf numFmtId="166" fontId="11" fillId="2" borderId="1" pivotButton="0" quotePrefix="0" xfId="0"/>
    <xf numFmtId="0" fontId="5" fillId="9" borderId="1" pivotButton="0" quotePrefix="0" xfId="0"/>
    <xf numFmtId="166" fontId="5" fillId="9" borderId="1" pivotButton="0" quotePrefix="0" xfId="0"/>
    <xf numFmtId="0" fontId="12" fillId="0" borderId="1" pivotButton="0" quotePrefix="0" xfId="0"/>
    <xf numFmtId="0" fontId="13" fillId="0" borderId="0" pivotButton="0" quotePrefix="0" xfId="0"/>
    <xf numFmtId="0" fontId="5" fillId="0" borderId="1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3" fillId="0" borderId="1" pivotButton="0" quotePrefix="0" xfId="0"/>
    <xf numFmtId="165" fontId="3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left" vertical="center" wrapText="1"/>
    </xf>
    <xf numFmtId="166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left" vertical="center" wrapText="1"/>
    </xf>
    <xf numFmtId="166" fontId="3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3" fontId="0" fillId="0" borderId="1" pivotButton="0" quotePrefix="0" xfId="0"/>
    <xf numFmtId="167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166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A5A5"/>
        </patternFill>
      </fill>
    </dxf>
    <dxf>
      <fill>
        <patternFill patternType="solid">
          <fgColor rgb="0086EFA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1" t="inlineStr">
        <is>
          <t>Star Energy CEMS — MVP Cost Tracker</t>
        </is>
      </c>
    </row>
    <row r="2" ht="20" customHeight="1">
      <c r="A2" s="2" t="inlineStr">
        <is>
          <t>2-terminal parallel build • Claude Max 20x • $20/hr • 6-week MVP</t>
        </is>
      </c>
    </row>
    <row r="4" ht="28" customHeight="1">
      <c r="A4" s="3" t="inlineStr">
        <is>
          <t>Section</t>
        </is>
      </c>
      <c r="B4" s="3" t="inlineStr">
        <is>
          <t>Metric</t>
        </is>
      </c>
      <c r="C4" s="3" t="inlineStr">
        <is>
          <t>Estimated (USD)</t>
        </is>
      </c>
      <c r="D4" s="3" t="inlineStr">
        <is>
          <t>Actual (USD)</t>
        </is>
      </c>
      <c r="E4" s="3" t="inlineStr">
        <is>
          <t>Variance (USD)</t>
        </is>
      </c>
      <c r="F4" s="3" t="inlineStr">
        <is>
          <t>% of Build</t>
        </is>
      </c>
    </row>
    <row r="5">
      <c r="A5" s="4" t="inlineStr">
        <is>
          <t>LABOR</t>
        </is>
      </c>
      <c r="B5" s="5" t="n"/>
      <c r="C5" s="5" t="n"/>
      <c r="D5" s="5" t="n"/>
      <c r="E5" s="5" t="n"/>
      <c r="F5" s="5" t="n"/>
    </row>
    <row r="6">
      <c r="A6" s="6" t="inlineStr">
        <is>
          <t>Labor</t>
        </is>
      </c>
      <c r="B6" s="6" t="inlineStr">
        <is>
          <t>Claude work-hours (MVP in-scope)</t>
        </is>
      </c>
      <c r="C6" s="7">
        <f>LABOR_HOURS_TOTAL</f>
        <v/>
      </c>
      <c r="D6" s="5" t="n"/>
      <c r="E6" s="5" t="n"/>
      <c r="F6" s="5" t="n"/>
    </row>
    <row r="7">
      <c r="A7" s="6" t="inlineStr">
        <is>
          <t>Labor</t>
        </is>
      </c>
      <c r="B7" s="6" t="inlineStr">
        <is>
          <t>Your effective hours (÷ 1.4)</t>
        </is>
      </c>
      <c r="C7" s="7">
        <f>LABOR_EFFECTIVE_HOURS</f>
        <v/>
      </c>
      <c r="D7" s="5" t="n"/>
      <c r="E7" s="5" t="n"/>
      <c r="F7" s="5" t="n"/>
    </row>
    <row r="8">
      <c r="A8" s="8" t="inlineStr">
        <is>
          <t>Labor</t>
        </is>
      </c>
      <c r="B8" s="9" t="inlineStr">
        <is>
          <t>TOTAL LABOR COST @ $20/hr</t>
        </is>
      </c>
      <c r="C8" s="10">
        <f>LABOR_COST</f>
        <v/>
      </c>
      <c r="D8" s="11" t="n"/>
      <c r="E8" s="11">
        <f>D8-C8</f>
        <v/>
      </c>
      <c r="F8" s="12" t="n"/>
    </row>
    <row r="9"/>
    <row r="10">
      <c r="A10" s="13" t="inlineStr">
        <is>
          <t>CLAUDE &amp; TOOLS</t>
        </is>
      </c>
      <c r="B10" s="5" t="n"/>
      <c r="C10" s="5" t="n"/>
      <c r="D10" s="5" t="n"/>
      <c r="E10" s="5" t="n"/>
      <c r="F10" s="5" t="n"/>
    </row>
    <row r="11">
      <c r="A11" s="6" t="inlineStr">
        <is>
          <t>Claude</t>
        </is>
      </c>
      <c r="B11" s="6" t="inlineStr">
        <is>
          <t>Claude Max 20x × 2 months</t>
        </is>
      </c>
      <c r="C11" s="14">
        <f>SUBS_REQUIRED_TOTAL</f>
        <v/>
      </c>
      <c r="D11" s="14" t="n"/>
      <c r="E11" s="14">
        <f>D11-C11</f>
        <v/>
      </c>
      <c r="F11" s="5" t="n"/>
    </row>
    <row r="12">
      <c r="A12" s="6" t="inlineStr">
        <is>
          <t>Claude</t>
        </is>
      </c>
      <c r="B12" s="6" t="inlineStr">
        <is>
          <t>Production LLM API (MVP — zero)</t>
        </is>
      </c>
      <c r="C12" s="14" t="n">
        <v>0</v>
      </c>
      <c r="D12" s="14" t="n"/>
      <c r="E12" s="14">
        <f>D12-C12</f>
        <v/>
      </c>
      <c r="F12" s="5" t="n"/>
    </row>
    <row r="13"/>
    <row r="14">
      <c r="A14" s="13" t="inlineStr">
        <is>
          <t>INFRASTRUCTURE</t>
        </is>
      </c>
      <c r="B14" s="5" t="n"/>
      <c r="C14" s="5" t="n"/>
      <c r="D14" s="5" t="n"/>
      <c r="E14" s="5" t="n"/>
      <c r="F14" s="5" t="n"/>
    </row>
    <row r="15">
      <c r="A15" s="6" t="inlineStr">
        <is>
          <t>Infra</t>
        </is>
      </c>
      <c r="B15" s="6" t="inlineStr">
        <is>
          <t>Azure dev (2 months minimum tiers)</t>
        </is>
      </c>
      <c r="C15" s="14">
        <f>INFRA_DEV_TOTAL</f>
        <v/>
      </c>
      <c r="D15" s="14" t="n"/>
      <c r="E15" s="14">
        <f>D15-C15</f>
        <v/>
      </c>
      <c r="F15" s="5" t="n"/>
    </row>
    <row r="16">
      <c r="A16" s="6" t="inlineStr">
        <is>
          <t>Infra</t>
        </is>
      </c>
      <c r="B16" s="6" t="inlineStr">
        <is>
          <t>Azure prod (launch month)</t>
        </is>
      </c>
      <c r="C16" s="14">
        <f>INFRA_PROD_TOTAL</f>
        <v/>
      </c>
      <c r="D16" s="14" t="n"/>
      <c r="E16" s="14">
        <f>D16-C16</f>
        <v/>
      </c>
      <c r="F16" s="5" t="n"/>
    </row>
    <row r="17">
      <c r="A17" s="6" t="inlineStr">
        <is>
          <t>Infra</t>
        </is>
      </c>
      <c r="B17" s="6" t="inlineStr">
        <is>
          <t>Third-party services (2 months)</t>
        </is>
      </c>
      <c r="C17" s="14">
        <f>INFRA_3P_TOTAL</f>
        <v/>
      </c>
      <c r="D17" s="14" t="n"/>
      <c r="E17" s="14">
        <f>D17-C17</f>
        <v/>
      </c>
      <c r="F17" s="5" t="n"/>
    </row>
    <row r="18"/>
    <row r="19">
      <c r="A19" s="13" t="inlineStr">
        <is>
          <t>ONE-TIME</t>
        </is>
      </c>
      <c r="B19" s="5" t="n"/>
      <c r="C19" s="5" t="n"/>
      <c r="D19" s="5" t="n"/>
      <c r="E19" s="5" t="n"/>
      <c r="F19" s="5" t="n"/>
    </row>
    <row r="20">
      <c r="A20" s="6" t="inlineStr">
        <is>
          <t>Setup</t>
        </is>
      </c>
      <c r="B20" s="6" t="inlineStr">
        <is>
          <t>Domain + legal templates + training</t>
        </is>
      </c>
      <c r="C20" s="14">
        <f>ONETIME_TOTAL</f>
        <v/>
      </c>
      <c r="D20" s="14" t="n"/>
      <c r="E20" s="14">
        <f>D20-C20</f>
        <v/>
      </c>
      <c r="F20" s="5" t="n"/>
    </row>
    <row r="21"/>
    <row r="22">
      <c r="A22" s="9" t="n"/>
      <c r="B22" s="9" t="inlineStr">
        <is>
          <t>SUBTOTAL (before contingency)</t>
        </is>
      </c>
      <c r="C22" s="10">
        <f>C8+C11+C15+C16+C17+C20</f>
        <v/>
      </c>
      <c r="D22" s="10">
        <f>D8+D11+D15+D16+D17+D20</f>
        <v/>
      </c>
      <c r="E22" s="10">
        <f>D22-C22</f>
        <v/>
      </c>
      <c r="F22" s="9" t="n"/>
    </row>
    <row r="23">
      <c r="A23" s="5" t="n"/>
      <c r="B23" s="6" t="inlineStr">
        <is>
          <t>Contingency (15%)</t>
        </is>
      </c>
      <c r="C23" s="14">
        <f>C22*0.15</f>
        <v/>
      </c>
      <c r="D23" s="14" t="n"/>
      <c r="E23" s="14">
        <f>D23-C23</f>
        <v/>
      </c>
      <c r="F23" s="5" t="n"/>
    </row>
    <row r="24">
      <c r="A24" s="15" t="n"/>
      <c r="B24" s="15" t="inlineStr">
        <is>
          <t>TOTAL TO LAUNCH MVP</t>
        </is>
      </c>
      <c r="C24" s="16">
        <f>C22+C23</f>
        <v/>
      </c>
      <c r="D24" s="16">
        <f>D22+D23</f>
        <v/>
      </c>
      <c r="E24" s="16">
        <f>D24-C24</f>
        <v/>
      </c>
      <c r="F24" s="15" t="n"/>
    </row>
    <row r="26">
      <c r="A26" s="17" t="inlineStr">
        <is>
          <t>CASH OUT-OF-POCKET</t>
        </is>
      </c>
      <c r="B26" s="17" t="inlineStr">
        <is>
          <t>Cash only (excludes your sweat-equity labor)</t>
        </is>
      </c>
      <c r="C26" s="18">
        <f>C11+C15+C16+C17+C20+(C23*0.2)</f>
        <v/>
      </c>
      <c r="D26" s="18" t="n"/>
      <c r="E26" s="18">
        <f>D26-C26</f>
        <v/>
      </c>
      <c r="F26" s="17" t="n"/>
    </row>
    <row r="28">
      <c r="A28" s="19" t="inlineStr">
        <is>
          <t>YEAR 1 OPS</t>
        </is>
      </c>
      <c r="B28" s="6" t="inlineStr">
        <is>
          <t>Year 1 production run-rate (post-launch)</t>
        </is>
      </c>
      <c r="C28" s="14">
        <f>RUNRATE_ANNUAL</f>
        <v/>
      </c>
      <c r="D28" s="14" t="n"/>
      <c r="E28" s="14">
        <f>D28-C28</f>
        <v/>
      </c>
      <c r="F28" s="5" t="n"/>
    </row>
    <row r="29">
      <c r="A29" s="15" t="n"/>
      <c r="B29" s="15" t="inlineStr">
        <is>
          <t>GRAND TOTAL YEAR 1 (build + run)</t>
        </is>
      </c>
      <c r="C29" s="16">
        <f>C24+C28</f>
        <v/>
      </c>
      <c r="D29" s="16">
        <f>D24+D28</f>
        <v/>
      </c>
      <c r="E29" s="16">
        <f>D29-C29</f>
        <v/>
      </c>
      <c r="F29" s="15" t="n"/>
    </row>
    <row r="32">
      <c r="A32" s="20" t="inlineStr">
        <is>
          <t>SCENARIOS</t>
        </is>
      </c>
    </row>
    <row r="33">
      <c r="A33" s="3" t="inlineStr">
        <is>
          <t>Scenario</t>
        </is>
      </c>
      <c r="B33" s="3" t="inlineStr">
        <is>
          <t>Description</t>
        </is>
      </c>
      <c r="C33" s="3" t="inlineStr">
        <is>
          <t>Total (USD)</t>
        </is>
      </c>
    </row>
    <row r="34">
      <c r="A34" s="21" t="inlineStr">
        <is>
          <t>Lean</t>
        </is>
      </c>
      <c r="B34" s="6" t="inlineStr">
        <is>
          <t>Scope held, no contingency burned</t>
        </is>
      </c>
      <c r="C34" s="14">
        <f>C22</f>
        <v/>
      </c>
    </row>
    <row r="35">
      <c r="A35" s="21" t="inlineStr">
        <is>
          <t>Realistic</t>
        </is>
      </c>
      <c r="B35" s="6" t="inlineStr">
        <is>
          <t>This dashboard (default)</t>
        </is>
      </c>
      <c r="C35" s="14">
        <f>C24</f>
        <v/>
      </c>
    </row>
    <row r="36">
      <c r="A36" s="21" t="inlineStr">
        <is>
          <t>Slow</t>
        </is>
      </c>
      <c r="B36" s="6" t="inlineStr">
        <is>
          <t>Part-time 25hr/wk → 10 weeks calendar</t>
        </is>
      </c>
      <c r="C36" s="14">
        <f>(LABOR_HOURS_TOTAL*1.7*20)+(C11*2.5)+(C15*2.5)+C16+(C17*2.5)+C20</f>
        <v/>
      </c>
    </row>
    <row r="37">
      <c r="A37" s="21" t="inlineStr">
        <is>
          <t>Scope creep</t>
        </is>
      </c>
      <c r="B37" s="6" t="inlineStr">
        <is>
          <t>HVAC + Lighting + Envelope added back</t>
        </is>
      </c>
      <c r="C37" s="14">
        <f>(LABOR_HOURS_TOTAL*1.5*20)+(C11*1.5)+(C15*1.5)+C16+(C17*1.5)+C20</f>
        <v/>
      </c>
    </row>
    <row r="40">
      <c r="A40" s="20" t="inlineStr">
        <is>
          <t>NEXT ACTIONS</t>
        </is>
      </c>
    </row>
    <row r="41">
      <c r="A41" s="22" t="inlineStr">
        <is>
          <t>1. Finalize Epic 0 spikes (RLS, Puppeteer, Redis) before forking terminals</t>
        </is>
      </c>
    </row>
    <row r="42">
      <c r="A42" s="22" t="inlineStr">
        <is>
          <t>2. Confirm Terminal A/B file-system split (see 10-terminal-execution-plan.md)</t>
        </is>
      </c>
    </row>
    <row r="43">
      <c r="A43" s="22" t="inlineStr">
        <is>
          <t>3. Log actual hours on 'Actuals Log' tab daily</t>
        </is>
      </c>
    </row>
    <row r="44">
      <c r="A44" s="22" t="inlineStr">
        <is>
          <t>4. Review assumptions weekly; update values as reality diverges</t>
        </is>
      </c>
    </row>
    <row r="45">
      <c r="A45" s="22" t="inlineStr">
        <is>
          <t>5. If contingency burns past 50% by Week 4 → cut more scope, not overrun</t>
        </is>
      </c>
    </row>
  </sheetData>
  <mergeCells count="11">
    <mergeCell ref="A41:F41"/>
    <mergeCell ref="A2:F2"/>
    <mergeCell ref="A10:F10"/>
    <mergeCell ref="A42:F42"/>
    <mergeCell ref="A19:F19"/>
    <mergeCell ref="A14:F14"/>
    <mergeCell ref="A44:F44"/>
    <mergeCell ref="A1:F1"/>
    <mergeCell ref="A5:F5"/>
    <mergeCell ref="A45:F45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F62"/>
    <outlinePr summaryBelow="1" summaryRight="1"/>
    <pageSetUpPr/>
  </sheetPr>
  <dimension ref="A1:M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3" customWidth="1" min="12" max="12"/>
    <col width="32" customWidth="1" min="13" max="13"/>
  </cols>
  <sheetData>
    <row r="1" ht="30" customHeight="1">
      <c r="A1" s="23" t="inlineStr">
        <is>
          <t>Labor — MVP Stories (2-Terminal Parallel Plan)</t>
        </is>
      </c>
    </row>
    <row r="3" ht="28" customHeight="1">
      <c r="A3" s="3" t="inlineStr">
        <is>
          <t>Epic</t>
        </is>
      </c>
      <c r="B3" s="3" t="inlineStr">
        <is>
          <t>Story ID</t>
        </is>
      </c>
      <c r="C3" s="3" t="inlineStr">
        <is>
          <t>Story Name</t>
        </is>
      </c>
      <c r="D3" s="3" t="inlineStr">
        <is>
          <t>Terminal</t>
        </is>
      </c>
      <c r="E3" s="3" t="inlineStr">
        <is>
          <t>Claude Work Hrs</t>
        </is>
      </c>
      <c r="F3" s="3" t="inlineStr">
        <is>
          <t>Your Rate (USD)</t>
        </is>
      </c>
      <c r="G3" s="3" t="inlineStr">
        <is>
          <t>Est Cost (USD)</t>
        </is>
      </c>
      <c r="H3" s="3" t="inlineStr">
        <is>
          <t>Actual Hrs</t>
        </is>
      </c>
      <c r="I3" s="3" t="inlineStr">
        <is>
          <t>Actual Cost (USD)</t>
        </is>
      </c>
      <c r="J3" s="3" t="inlineStr">
        <is>
          <t>Variance Hrs</t>
        </is>
      </c>
      <c r="K3" s="3" t="inlineStr">
        <is>
          <t>Variance Cost</t>
        </is>
      </c>
      <c r="L3" s="3" t="inlineStr">
        <is>
          <t>Status</t>
        </is>
      </c>
      <c r="M3" s="3" t="inlineStr">
        <is>
          <t>Notes</t>
        </is>
      </c>
    </row>
    <row r="4">
      <c r="A4" s="6" t="inlineStr">
        <is>
          <t>Epic 0</t>
        </is>
      </c>
      <c r="B4" s="6" t="inlineStr">
        <is>
          <t>0-1</t>
        </is>
      </c>
      <c r="C4" s="6" t="inlineStr">
        <is>
          <t>Turborepo monorepo + shared package scaffold</t>
        </is>
      </c>
      <c r="D4" s="6" t="inlineStr">
        <is>
          <t>Done</t>
        </is>
      </c>
      <c r="E4" s="24" t="n">
        <v>0</v>
      </c>
      <c r="F4" s="25" t="n">
        <v>20</v>
      </c>
      <c r="G4" s="14">
        <f>E4*F4</f>
        <v/>
      </c>
      <c r="H4" s="7" t="n">
        <v>0</v>
      </c>
      <c r="I4" s="14">
        <f>H4*F4</f>
        <v/>
      </c>
      <c r="J4" s="7">
        <f>H4-E4</f>
        <v/>
      </c>
      <c r="K4" s="14">
        <f>I4-G4</f>
        <v/>
      </c>
      <c r="L4" s="6" t="inlineStr">
        <is>
          <t>done</t>
        </is>
      </c>
      <c r="M4" s="6" t="inlineStr">
        <is>
          <t>Already shipped</t>
        </is>
      </c>
    </row>
    <row r="5">
      <c r="A5" s="6" t="inlineStr">
        <is>
          <t>Epic 0</t>
        </is>
      </c>
      <c r="B5" s="6" t="inlineStr">
        <is>
          <t>0-2</t>
        </is>
      </c>
      <c r="C5" s="6" t="inlineStr">
        <is>
          <t>Azure infrastructure provisioning</t>
        </is>
      </c>
      <c r="D5" s="6" t="inlineStr">
        <is>
          <t>Done</t>
        </is>
      </c>
      <c r="E5" s="24" t="n">
        <v>0</v>
      </c>
      <c r="F5" s="25" t="n">
        <v>20</v>
      </c>
      <c r="G5" s="14">
        <f>E5*F5</f>
        <v/>
      </c>
      <c r="H5" s="7" t="n">
        <v>0</v>
      </c>
      <c r="I5" s="14">
        <f>H5*F5</f>
        <v/>
      </c>
      <c r="J5" s="7">
        <f>H5-E5</f>
        <v/>
      </c>
      <c r="K5" s="14">
        <f>I5-G5</f>
        <v/>
      </c>
      <c r="L5" s="6" t="inlineStr">
        <is>
          <t>done</t>
        </is>
      </c>
      <c r="M5" s="6" t="inlineStr">
        <is>
          <t>Already shipped</t>
        </is>
      </c>
    </row>
    <row r="6">
      <c r="A6" s="6" t="inlineStr">
        <is>
          <t>Epic 0</t>
        </is>
      </c>
      <c r="B6" s="6" t="inlineStr">
        <is>
          <t>0-3</t>
        </is>
      </c>
      <c r="C6" s="6" t="inlineStr">
        <is>
          <t>Database schema + RLS foundation</t>
        </is>
      </c>
      <c r="D6" s="6" t="inlineStr">
        <is>
          <t>Seq (A)</t>
        </is>
      </c>
      <c r="E6" s="24" t="n">
        <v>12</v>
      </c>
      <c r="F6" s="25" t="n">
        <v>20</v>
      </c>
      <c r="G6" s="14">
        <f>E6*F6</f>
        <v/>
      </c>
      <c r="H6" s="7" t="n">
        <v>12</v>
      </c>
      <c r="I6" s="14">
        <f>H6*F6</f>
        <v/>
      </c>
      <c r="J6" s="7">
        <f>H6-E6</f>
        <v/>
      </c>
      <c r="K6" s="14">
        <f>I6-G6</f>
        <v/>
      </c>
      <c r="L6" s="6" t="inlineStr">
        <is>
          <t>done</t>
        </is>
      </c>
      <c r="M6" s="6" t="inlineStr">
        <is>
          <t>Sequential blocker — A alone</t>
        </is>
      </c>
    </row>
    <row r="7">
      <c r="A7" s="6" t="inlineStr">
        <is>
          <t>Epic 0</t>
        </is>
      </c>
      <c r="B7" s="6" t="inlineStr">
        <is>
          <t>0-4</t>
        </is>
      </c>
      <c r="C7" s="6" t="inlineStr">
        <is>
          <t>Node.js API foundation + BullMQ</t>
        </is>
      </c>
      <c r="D7" s="6" t="inlineStr">
        <is>
          <t>A</t>
        </is>
      </c>
      <c r="E7" s="24" t="n">
        <v>12</v>
      </c>
      <c r="F7" s="25" t="n">
        <v>20</v>
      </c>
      <c r="G7" s="14">
        <f>E7*F7</f>
        <v/>
      </c>
      <c r="H7" s="7" t="n">
        <v>12</v>
      </c>
      <c r="I7" s="14">
        <f>H7*F7</f>
        <v/>
      </c>
      <c r="J7" s="7">
        <f>H7-E7</f>
        <v/>
      </c>
      <c r="K7" s="14">
        <f>I7-G7</f>
        <v/>
      </c>
      <c r="L7" s="6" t="inlineStr">
        <is>
          <t>done</t>
        </is>
      </c>
      <c r="M7" s="6" t="inlineStr">
        <is>
          <t>Completed 2026-04-28</t>
        </is>
      </c>
    </row>
    <row r="8">
      <c r="A8" s="6" t="inlineStr">
        <is>
          <t>Epic 0</t>
        </is>
      </c>
      <c r="B8" s="6" t="inlineStr">
        <is>
          <t>0-5</t>
        </is>
      </c>
      <c r="C8" s="6" t="inlineStr">
        <is>
          <t>Python calculation service scaffold</t>
        </is>
      </c>
      <c r="D8" s="6" t="inlineStr">
        <is>
          <t>A</t>
        </is>
      </c>
      <c r="E8" s="24" t="n">
        <v>8</v>
      </c>
      <c r="F8" s="25" t="n">
        <v>20</v>
      </c>
      <c r="G8" s="14">
        <f>E8*F8</f>
        <v/>
      </c>
      <c r="H8" s="7" t="n">
        <v>8</v>
      </c>
      <c r="I8" s="14">
        <f>H8*F8</f>
        <v/>
      </c>
      <c r="J8" s="7">
        <f>H8-E8</f>
        <v/>
      </c>
      <c r="K8" s="14">
        <f>I8-G8</f>
        <v/>
      </c>
      <c r="L8" s="6" t="inlineStr">
        <is>
          <t>done</t>
        </is>
      </c>
      <c r="M8" s="6" t="inlineStr">
        <is>
          <t>Built despite deferral — needed for CI/CD integration (2026-04-28)</t>
        </is>
      </c>
    </row>
    <row r="9">
      <c r="A9" s="6" t="inlineStr">
        <is>
          <t>Epic 0</t>
        </is>
      </c>
      <c r="B9" s="6" t="inlineStr">
        <is>
          <t>0-6</t>
        </is>
      </c>
      <c r="C9" s="6" t="inlineStr">
        <is>
          <t>CI/CD pipeline</t>
        </is>
      </c>
      <c r="D9" s="6" t="inlineStr">
        <is>
          <t>A</t>
        </is>
      </c>
      <c r="E9" s="24" t="n">
        <v>6</v>
      </c>
      <c r="F9" s="25" t="n">
        <v>20</v>
      </c>
      <c r="G9" s="14">
        <f>E9*F9</f>
        <v/>
      </c>
      <c r="H9" s="7" t="n">
        <v>10</v>
      </c>
      <c r="I9" s="14">
        <f>H9*F9</f>
        <v/>
      </c>
      <c r="J9" s="7">
        <f>H9-E9</f>
        <v/>
      </c>
      <c r="K9" s="14">
        <f>I9-G9</f>
        <v/>
      </c>
      <c r="L9" s="6" t="inlineStr">
        <is>
          <t>done</t>
        </is>
      </c>
      <c r="M9" s="6" t="inlineStr">
        <is>
          <t>Completed 2026-05-01; complex OIDC + slot-swap wiring</t>
        </is>
      </c>
    </row>
    <row r="10">
      <c r="A10" s="6" t="inlineStr">
        <is>
          <t>Epic 0</t>
        </is>
      </c>
      <c r="B10" s="6" t="inlineStr">
        <is>
          <t>0-7</t>
        </is>
      </c>
      <c r="C10" s="6" t="inlineStr">
        <is>
          <t>Design tokens + minimal component library</t>
        </is>
      </c>
      <c r="D10" s="6" t="inlineStr">
        <is>
          <t>B</t>
        </is>
      </c>
      <c r="E10" s="24" t="n">
        <v>4</v>
      </c>
      <c r="F10" s="25" t="n">
        <v>20</v>
      </c>
      <c r="G10" s="14">
        <f>E10*F10</f>
        <v/>
      </c>
      <c r="H10" s="7" t="n"/>
      <c r="I10" s="14">
        <f>H10*F10</f>
        <v/>
      </c>
      <c r="J10" s="7">
        <f>H10-E10</f>
        <v/>
      </c>
      <c r="K10" s="14">
        <f>I10-G10</f>
        <v/>
      </c>
      <c r="L10" s="6" t="inlineStr">
        <is>
          <t>backlog</t>
        </is>
      </c>
      <c r="M10" s="6" t="inlineStr">
        <is>
          <t>Tailwind defaults + 3-4 components</t>
        </is>
      </c>
    </row>
    <row r="11">
      <c r="A11" s="26" t="inlineStr">
        <is>
          <t>Epic 0</t>
        </is>
      </c>
      <c r="B11" s="26" t="inlineStr">
        <is>
          <t>0-8</t>
        </is>
      </c>
      <c r="C11" s="26" t="inlineStr">
        <is>
          <t>Accessibility + testing infrastructure</t>
        </is>
      </c>
      <c r="D11" s="26" t="inlineStr">
        <is>
          <t>DEFERRED</t>
        </is>
      </c>
      <c r="E11" s="27" t="n">
        <v>0</v>
      </c>
      <c r="F11" s="28" t="n">
        <v>20</v>
      </c>
      <c r="G11" s="29">
        <f>E11*F11</f>
        <v/>
      </c>
      <c r="H11" s="27" t="n"/>
      <c r="I11" s="29">
        <f>H11*F11</f>
        <v/>
      </c>
      <c r="J11" s="27">
        <f>H11-E11</f>
        <v/>
      </c>
      <c r="K11" s="29">
        <f>I11-G11</f>
        <v/>
      </c>
      <c r="L11" s="26" t="inlineStr">
        <is>
          <t>deferred</t>
        </is>
      </c>
      <c r="M11" s="26" t="inlineStr">
        <is>
          <t>V2 polish</t>
        </is>
      </c>
    </row>
    <row r="12">
      <c r="A12" s="6" t="inlineStr">
        <is>
          <t>Epic 1</t>
        </is>
      </c>
      <c r="B12" s="6" t="inlineStr">
        <is>
          <t>1-1</t>
        </is>
      </c>
      <c r="C12" s="6" t="inlineStr">
        <is>
          <t>Login API + JWT issuance</t>
        </is>
      </c>
      <c r="D12" s="6" t="inlineStr">
        <is>
          <t>A</t>
        </is>
      </c>
      <c r="E12" s="24" t="n">
        <v>8</v>
      </c>
      <c r="F12" s="25" t="n">
        <v>20</v>
      </c>
      <c r="G12" s="14">
        <f>E12*F12</f>
        <v/>
      </c>
      <c r="H12" s="7" t="n"/>
      <c r="I12" s="14">
        <f>H12*F12</f>
        <v/>
      </c>
      <c r="J12" s="7">
        <f>H12-E12</f>
        <v/>
      </c>
      <c r="K12" s="14">
        <f>I12-G12</f>
        <v/>
      </c>
      <c r="L12" s="6" t="inlineStr">
        <is>
          <t>backlog</t>
        </is>
      </c>
      <c r="M12" s="6" t="inlineStr"/>
    </row>
    <row r="13">
      <c r="A13" s="6" t="inlineStr">
        <is>
          <t>Epic 1</t>
        </is>
      </c>
      <c r="B13" s="6" t="inlineStr">
        <is>
          <t>1-1b</t>
        </is>
      </c>
      <c r="C13" s="6" t="inlineStr">
        <is>
          <t>Login UI screen</t>
        </is>
      </c>
      <c r="D13" s="6" t="inlineStr">
        <is>
          <t>B</t>
        </is>
      </c>
      <c r="E13" s="24" t="n">
        <v>6</v>
      </c>
      <c r="F13" s="25" t="n">
        <v>20</v>
      </c>
      <c r="G13" s="14">
        <f>E13*F13</f>
        <v/>
      </c>
      <c r="H13" s="7" t="n"/>
      <c r="I13" s="14">
        <f>H13*F13</f>
        <v/>
      </c>
      <c r="J13" s="7">
        <f>H13-E13</f>
        <v/>
      </c>
      <c r="K13" s="14">
        <f>I13-G13</f>
        <v/>
      </c>
      <c r="L13" s="6" t="inlineStr">
        <is>
          <t>backlog</t>
        </is>
      </c>
      <c r="M13" s="6" t="inlineStr"/>
    </row>
    <row r="14">
      <c r="A14" s="6" t="inlineStr">
        <is>
          <t>Epic 1</t>
        </is>
      </c>
      <c r="B14" s="6" t="inlineStr">
        <is>
          <t>1-2</t>
        </is>
      </c>
      <c r="C14" s="6" t="inlineStr">
        <is>
          <t>Role-based access API guards</t>
        </is>
      </c>
      <c r="D14" s="6" t="inlineStr">
        <is>
          <t>A</t>
        </is>
      </c>
      <c r="E14" s="24" t="n">
        <v>4</v>
      </c>
      <c r="F14" s="25" t="n">
        <v>20</v>
      </c>
      <c r="G14" s="14">
        <f>E14*F14</f>
        <v/>
      </c>
      <c r="H14" s="7" t="n"/>
      <c r="I14" s="14">
        <f>H14*F14</f>
        <v/>
      </c>
      <c r="J14" s="7">
        <f>H14-E14</f>
        <v/>
      </c>
      <c r="K14" s="14">
        <f>I14-G14</f>
        <v/>
      </c>
      <c r="L14" s="6" t="inlineStr">
        <is>
          <t>backlog</t>
        </is>
      </c>
      <c r="M14" s="6" t="inlineStr">
        <is>
          <t>Auditor + admin roles only</t>
        </is>
      </c>
    </row>
    <row r="15">
      <c r="A15" s="6" t="inlineStr">
        <is>
          <t>Epic 1</t>
        </is>
      </c>
      <c r="B15" s="6" t="inlineStr">
        <is>
          <t>1-2b</t>
        </is>
      </c>
      <c r="C15" s="6" t="inlineStr">
        <is>
          <t>Route guards — frontend</t>
        </is>
      </c>
      <c r="D15" s="6" t="inlineStr">
        <is>
          <t>B</t>
        </is>
      </c>
      <c r="E15" s="24" t="n">
        <v>4</v>
      </c>
      <c r="F15" s="25" t="n">
        <v>20</v>
      </c>
      <c r="G15" s="14">
        <f>E15*F15</f>
        <v/>
      </c>
      <c r="H15" s="7" t="n"/>
      <c r="I15" s="14">
        <f>H15*F15</f>
        <v/>
      </c>
      <c r="J15" s="7">
        <f>H15-E15</f>
        <v/>
      </c>
      <c r="K15" s="14">
        <f>I15-G15</f>
        <v/>
      </c>
      <c r="L15" s="6" t="inlineStr">
        <is>
          <t>backlog</t>
        </is>
      </c>
      <c r="M15" s="6" t="inlineStr"/>
    </row>
    <row r="16">
      <c r="A16" s="6" t="inlineStr">
        <is>
          <t>Epic 1</t>
        </is>
      </c>
      <c r="B16" s="6" t="inlineStr">
        <is>
          <t>1-3</t>
        </is>
      </c>
      <c r="C16" s="6" t="inlineStr">
        <is>
          <t>Admin user management — auditors</t>
        </is>
      </c>
      <c r="D16" s="6" t="inlineStr">
        <is>
          <t>A+B</t>
        </is>
      </c>
      <c r="E16" s="24" t="n">
        <v>8</v>
      </c>
      <c r="F16" s="25" t="n">
        <v>20</v>
      </c>
      <c r="G16" s="14">
        <f>E16*F16</f>
        <v/>
      </c>
      <c r="H16" s="7" t="n"/>
      <c r="I16" s="14">
        <f>H16*F16</f>
        <v/>
      </c>
      <c r="J16" s="7">
        <f>H16-E16</f>
        <v/>
      </c>
      <c r="K16" s="14">
        <f>I16-G16</f>
        <v/>
      </c>
      <c r="L16" s="6" t="inlineStr">
        <is>
          <t>backlog</t>
        </is>
      </c>
      <c r="M16" s="6" t="inlineStr">
        <is>
          <t>Simple CRUD + list</t>
        </is>
      </c>
    </row>
    <row r="17">
      <c r="A17" s="26" t="inlineStr">
        <is>
          <t>Epic 1</t>
        </is>
      </c>
      <c r="B17" s="26" t="inlineStr">
        <is>
          <t>1-4</t>
        </is>
      </c>
      <c r="C17" s="26" t="inlineStr">
        <is>
          <t>Admin client management</t>
        </is>
      </c>
      <c r="D17" s="26" t="inlineStr">
        <is>
          <t>DEFERRED</t>
        </is>
      </c>
      <c r="E17" s="27" t="n">
        <v>0</v>
      </c>
      <c r="F17" s="28" t="n">
        <v>20</v>
      </c>
      <c r="G17" s="29">
        <f>E17*F17</f>
        <v/>
      </c>
      <c r="H17" s="27" t="n"/>
      <c r="I17" s="29">
        <f>H17*F17</f>
        <v/>
      </c>
      <c r="J17" s="27">
        <f>H17-E17</f>
        <v/>
      </c>
      <c r="K17" s="29">
        <f>I17-G17</f>
        <v/>
      </c>
      <c r="L17" s="26" t="inlineStr">
        <is>
          <t>deferred</t>
        </is>
      </c>
      <c r="M17" s="26" t="inlineStr">
        <is>
          <t>No client accounts in MVP</t>
        </is>
      </c>
    </row>
    <row r="18">
      <c r="A18" s="6" t="inlineStr">
        <is>
          <t>Epic 2</t>
        </is>
      </c>
      <c r="B18" s="6" t="inlineStr">
        <is>
          <t>2-1</t>
        </is>
      </c>
      <c r="C18" s="6" t="inlineStr">
        <is>
          <t>Store reference API</t>
        </is>
      </c>
      <c r="D18" s="6" t="inlineStr">
        <is>
          <t>A</t>
        </is>
      </c>
      <c r="E18" s="24" t="n">
        <v>6</v>
      </c>
      <c r="F18" s="25" t="n">
        <v>20</v>
      </c>
      <c r="G18" s="14">
        <f>E18*F18</f>
        <v/>
      </c>
      <c r="H18" s="7" t="n"/>
      <c r="I18" s="14">
        <f>H18*F18</f>
        <v/>
      </c>
      <c r="J18" s="7">
        <f>H18-E18</f>
        <v/>
      </c>
      <c r="K18" s="14">
        <f>I18-G18</f>
        <v/>
      </c>
      <c r="L18" s="6" t="inlineStr">
        <is>
          <t>backlog</t>
        </is>
      </c>
      <c r="M18" s="6" t="inlineStr"/>
    </row>
    <row r="19">
      <c r="A19" s="6" t="inlineStr">
        <is>
          <t>Epic 2</t>
        </is>
      </c>
      <c r="B19" s="6" t="inlineStr">
        <is>
          <t>2-1b</t>
        </is>
      </c>
      <c r="C19" s="6" t="inlineStr">
        <is>
          <t>Store selector screen</t>
        </is>
      </c>
      <c r="D19" s="6" t="inlineStr">
        <is>
          <t>B</t>
        </is>
      </c>
      <c r="E19" s="24" t="n">
        <v>6</v>
      </c>
      <c r="F19" s="25" t="n">
        <v>20</v>
      </c>
      <c r="G19" s="14">
        <f>E19*F19</f>
        <v/>
      </c>
      <c r="H19" s="7" t="n"/>
      <c r="I19" s="14">
        <f>H19*F19</f>
        <v/>
      </c>
      <c r="J19" s="7">
        <f>H19-E19</f>
        <v/>
      </c>
      <c r="K19" s="14">
        <f>I19-G19</f>
        <v/>
      </c>
      <c r="L19" s="6" t="inlineStr">
        <is>
          <t>backlog</t>
        </is>
      </c>
      <c r="M19" s="6" t="inlineStr"/>
    </row>
    <row r="20">
      <c r="A20" s="6" t="inlineStr">
        <is>
          <t>Epic 2</t>
        </is>
      </c>
      <c r="B20" s="6" t="inlineStr">
        <is>
          <t>2-2</t>
        </is>
      </c>
      <c r="C20" s="6" t="inlineStr">
        <is>
          <t>Auto-fill + draft creation API</t>
        </is>
      </c>
      <c r="D20" s="6" t="inlineStr">
        <is>
          <t>A</t>
        </is>
      </c>
      <c r="E20" s="24" t="n">
        <v>8</v>
      </c>
      <c r="F20" s="25" t="n">
        <v>20</v>
      </c>
      <c r="G20" s="14">
        <f>E20*F20</f>
        <v/>
      </c>
      <c r="H20" s="7" t="n"/>
      <c r="I20" s="14">
        <f>H20*F20</f>
        <v/>
      </c>
      <c r="J20" s="7">
        <f>H20-E20</f>
        <v/>
      </c>
      <c r="K20" s="14">
        <f>I20-G20</f>
        <v/>
      </c>
      <c r="L20" s="6" t="inlineStr">
        <is>
          <t>backlog</t>
        </is>
      </c>
      <c r="M20" s="6" t="inlineStr"/>
    </row>
    <row r="21">
      <c r="A21" s="6" t="inlineStr">
        <is>
          <t>Epic 2</t>
        </is>
      </c>
      <c r="B21" s="6" t="inlineStr">
        <is>
          <t>2-2b</t>
        </is>
      </c>
      <c r="C21" s="6" t="inlineStr">
        <is>
          <t>Auto-fill UI</t>
        </is>
      </c>
      <c r="D21" s="6" t="inlineStr">
        <is>
          <t>B</t>
        </is>
      </c>
      <c r="E21" s="24" t="n">
        <v>4</v>
      </c>
      <c r="F21" s="25" t="n">
        <v>20</v>
      </c>
      <c r="G21" s="14">
        <f>E21*F21</f>
        <v/>
      </c>
      <c r="H21" s="7" t="n"/>
      <c r="I21" s="14">
        <f>H21*F21</f>
        <v/>
      </c>
      <c r="J21" s="7">
        <f>H21-E21</f>
        <v/>
      </c>
      <c r="K21" s="14">
        <f>I21-G21</f>
        <v/>
      </c>
      <c r="L21" s="6" t="inlineStr">
        <is>
          <t>backlog</t>
        </is>
      </c>
      <c r="M21" s="6" t="inlineStr"/>
    </row>
    <row r="22">
      <c r="A22" s="6" t="inlineStr">
        <is>
          <t>Epic 2</t>
        </is>
      </c>
      <c r="B22" s="6" t="inlineStr">
        <is>
          <t>2-3</t>
        </is>
      </c>
      <c r="C22" s="6" t="inlineStr">
        <is>
          <t>Auto-save API endpoints</t>
        </is>
      </c>
      <c r="D22" s="6" t="inlineStr">
        <is>
          <t>A</t>
        </is>
      </c>
      <c r="E22" s="24" t="n">
        <v>6</v>
      </c>
      <c r="F22" s="25" t="n">
        <v>20</v>
      </c>
      <c r="G22" s="14">
        <f>E22*F22</f>
        <v/>
      </c>
      <c r="H22" s="7" t="n"/>
      <c r="I22" s="14">
        <f>H22*F22</f>
        <v/>
      </c>
      <c r="J22" s="7">
        <f>H22-E22</f>
        <v/>
      </c>
      <c r="K22" s="14">
        <f>I22-G22</f>
        <v/>
      </c>
      <c r="L22" s="6" t="inlineStr">
        <is>
          <t>backlog</t>
        </is>
      </c>
      <c r="M22" s="6" t="inlineStr"/>
    </row>
    <row r="23">
      <c r="A23" s="6" t="inlineStr">
        <is>
          <t>Epic 2</t>
        </is>
      </c>
      <c r="B23" s="6" t="inlineStr">
        <is>
          <t>2-3b</t>
        </is>
      </c>
      <c r="C23" s="6" t="inlineStr">
        <is>
          <t>Auto-save frontend hook</t>
        </is>
      </c>
      <c r="D23" s="6" t="inlineStr">
        <is>
          <t>B</t>
        </is>
      </c>
      <c r="E23" s="24" t="n">
        <v>4</v>
      </c>
      <c r="F23" s="25" t="n">
        <v>20</v>
      </c>
      <c r="G23" s="14">
        <f>E23*F23</f>
        <v/>
      </c>
      <c r="H23" s="7" t="n"/>
      <c r="I23" s="14">
        <f>H23*F23</f>
        <v/>
      </c>
      <c r="J23" s="7">
        <f>H23-E23</f>
        <v/>
      </c>
      <c r="K23" s="14">
        <f>I23-G23</f>
        <v/>
      </c>
      <c r="L23" s="6" t="inlineStr">
        <is>
          <t>backlog</t>
        </is>
      </c>
      <c r="M23" s="6" t="inlineStr"/>
    </row>
    <row r="24">
      <c r="A24" s="6" t="inlineStr">
        <is>
          <t>Epic 2</t>
        </is>
      </c>
      <c r="B24" s="6" t="inlineStr">
        <is>
          <t>2-4</t>
        </is>
      </c>
      <c r="C24" s="6" t="inlineStr">
        <is>
          <t>Section overview + nav shell</t>
        </is>
      </c>
      <c r="D24" s="6" t="inlineStr">
        <is>
          <t>B</t>
        </is>
      </c>
      <c r="E24" s="24" t="n">
        <v>8</v>
      </c>
      <c r="F24" s="25" t="n">
        <v>20</v>
      </c>
      <c r="G24" s="14">
        <f>E24*F24</f>
        <v/>
      </c>
      <c r="H24" s="7" t="n"/>
      <c r="I24" s="14">
        <f>H24*F24</f>
        <v/>
      </c>
      <c r="J24" s="7">
        <f>H24-E24</f>
        <v/>
      </c>
      <c r="K24" s="14">
        <f>I24-G24</f>
        <v/>
      </c>
      <c r="L24" s="6" t="inlineStr">
        <is>
          <t>backlog</t>
        </is>
      </c>
      <c r="M24" s="6" t="inlineStr"/>
    </row>
    <row r="25">
      <c r="A25" s="6" t="inlineStr">
        <is>
          <t>Epic 3</t>
        </is>
      </c>
      <c r="B25" s="6" t="inlineStr">
        <is>
          <t>3-1</t>
        </is>
      </c>
      <c r="C25" s="6" t="inlineStr">
        <is>
          <t>Audit breadcrumb + machine room screen</t>
        </is>
      </c>
      <c r="D25" s="6" t="inlineStr">
        <is>
          <t>B</t>
        </is>
      </c>
      <c r="E25" s="24" t="n">
        <v>8</v>
      </c>
      <c r="F25" s="25" t="n">
        <v>20</v>
      </c>
      <c r="G25" s="14">
        <f>E25*F25</f>
        <v/>
      </c>
      <c r="H25" s="7" t="n"/>
      <c r="I25" s="14">
        <f>H25*F25</f>
        <v/>
      </c>
      <c r="J25" s="7">
        <f>H25-E25</f>
        <v/>
      </c>
      <c r="K25" s="14">
        <f>I25-G25</f>
        <v/>
      </c>
      <c r="L25" s="6" t="inlineStr">
        <is>
          <t>backlog</t>
        </is>
      </c>
      <c r="M25" s="6" t="inlineStr"/>
    </row>
    <row r="26">
      <c r="A26" s="26" t="inlineStr">
        <is>
          <t>Epic 3</t>
        </is>
      </c>
      <c r="B26" s="26" t="inlineStr">
        <is>
          <t>3-2</t>
        </is>
      </c>
      <c r="C26" s="26" t="inlineStr">
        <is>
          <t>Rack entry + duplication</t>
        </is>
      </c>
      <c r="D26" s="26" t="inlineStr">
        <is>
          <t>DEFERRED</t>
        </is>
      </c>
      <c r="E26" s="27" t="n">
        <v>0</v>
      </c>
      <c r="F26" s="28" t="n">
        <v>20</v>
      </c>
      <c r="G26" s="29">
        <f>E26*F26</f>
        <v/>
      </c>
      <c r="H26" s="27" t="n"/>
      <c r="I26" s="29">
        <f>H26*F26</f>
        <v/>
      </c>
      <c r="J26" s="27">
        <f>H26-E26</f>
        <v/>
      </c>
      <c r="K26" s="29">
        <f>I26-G26</f>
        <v/>
      </c>
      <c r="L26" s="26" t="inlineStr">
        <is>
          <t>deferred</t>
        </is>
      </c>
      <c r="M26" s="26" t="inlineStr">
        <is>
          <t>V2 — single rack in MVP</t>
        </is>
      </c>
    </row>
    <row r="27">
      <c r="A27" s="6" t="inlineStr">
        <is>
          <t>Epic 3</t>
        </is>
      </c>
      <c r="B27" s="6" t="inlineStr">
        <is>
          <t>3-3a</t>
        </is>
      </c>
      <c r="C27" s="6" t="inlineStr">
        <is>
          <t>Compressor + regression API</t>
        </is>
      </c>
      <c r="D27" s="6" t="inlineStr">
        <is>
          <t>A</t>
        </is>
      </c>
      <c r="E27" s="24" t="n">
        <v>10</v>
      </c>
      <c r="F27" s="25" t="n">
        <v>20</v>
      </c>
      <c r="G27" s="14">
        <f>E27*F27</f>
        <v/>
      </c>
      <c r="H27" s="7" t="n"/>
      <c r="I27" s="14">
        <f>H27*F27</f>
        <v/>
      </c>
      <c r="J27" s="7">
        <f>H27-E27</f>
        <v/>
      </c>
      <c r="K27" s="14">
        <f>I27-G27</f>
        <v/>
      </c>
      <c r="L27" s="6" t="inlineStr">
        <is>
          <t>backlog</t>
        </is>
      </c>
      <c r="M27" s="6" t="inlineStr">
        <is>
          <t>Regression DB lookup</t>
        </is>
      </c>
    </row>
    <row r="28">
      <c r="A28" s="6" t="inlineStr">
        <is>
          <t>Epic 3</t>
        </is>
      </c>
      <c r="B28" s="6" t="inlineStr">
        <is>
          <t>3-3b</t>
        </is>
      </c>
      <c r="C28" s="6" t="inlineStr">
        <is>
          <t>Compressor screens UI</t>
        </is>
      </c>
      <c r="D28" s="6" t="inlineStr">
        <is>
          <t>B</t>
        </is>
      </c>
      <c r="E28" s="24" t="n">
        <v>12</v>
      </c>
      <c r="F28" s="25" t="n">
        <v>20</v>
      </c>
      <c r="G28" s="14">
        <f>E28*F28</f>
        <v/>
      </c>
      <c r="H28" s="7" t="n"/>
      <c r="I28" s="14">
        <f>H28*F28</f>
        <v/>
      </c>
      <c r="J28" s="7">
        <f>H28-E28</f>
        <v/>
      </c>
      <c r="K28" s="14">
        <f>I28-G28</f>
        <v/>
      </c>
      <c r="L28" s="6" t="inlineStr">
        <is>
          <t>backlog</t>
        </is>
      </c>
      <c r="M28" s="6" t="inlineStr"/>
    </row>
    <row r="29">
      <c r="A29" s="6" t="inlineStr">
        <is>
          <t>Epic 3</t>
        </is>
      </c>
      <c r="B29" s="6" t="inlineStr">
        <is>
          <t>3-4</t>
        </is>
      </c>
      <c r="C29" s="6" t="inlineStr">
        <is>
          <t>Condenser + display case UI + API</t>
        </is>
      </c>
      <c r="D29" s="6" t="inlineStr">
        <is>
          <t>A+B</t>
        </is>
      </c>
      <c r="E29" s="24" t="n">
        <v>14</v>
      </c>
      <c r="F29" s="25" t="n">
        <v>20</v>
      </c>
      <c r="G29" s="14">
        <f>E29*F29</f>
        <v/>
      </c>
      <c r="H29" s="7" t="n"/>
      <c r="I29" s="14">
        <f>H29*F29</f>
        <v/>
      </c>
      <c r="J29" s="7">
        <f>H29-E29</f>
        <v/>
      </c>
      <c r="K29" s="14">
        <f>I29-G29</f>
        <v/>
      </c>
      <c r="L29" s="6" t="inlineStr">
        <is>
          <t>backlog</t>
        </is>
      </c>
      <c r="M29" s="6" t="inlineStr">
        <is>
          <t>Walk-in coolers deferred</t>
        </is>
      </c>
    </row>
    <row r="30">
      <c r="A30" s="26" t="inlineStr">
        <is>
          <t>Epic 3</t>
        </is>
      </c>
      <c r="B30" s="26" t="inlineStr">
        <is>
          <t>3-5</t>
        </is>
      </c>
      <c r="C30" s="26" t="inlineStr">
        <is>
          <t>Controller systems</t>
        </is>
      </c>
      <c r="D30" s="26" t="inlineStr">
        <is>
          <t>DEFERRED</t>
        </is>
      </c>
      <c r="E30" s="27" t="n">
        <v>0</v>
      </c>
      <c r="F30" s="28" t="n">
        <v>20</v>
      </c>
      <c r="G30" s="29">
        <f>E30*F30</f>
        <v/>
      </c>
      <c r="H30" s="27" t="n"/>
      <c r="I30" s="29">
        <f>H30*F30</f>
        <v/>
      </c>
      <c r="J30" s="27">
        <f>H30-E30</f>
        <v/>
      </c>
      <c r="K30" s="29">
        <f>I30-G30</f>
        <v/>
      </c>
      <c r="L30" s="26" t="inlineStr">
        <is>
          <t>deferred</t>
        </is>
      </c>
      <c r="M30" s="26" t="inlineStr">
        <is>
          <t>V2</t>
        </is>
      </c>
    </row>
    <row r="31">
      <c r="A31" s="26" t="inlineStr">
        <is>
          <t>Epic 3</t>
        </is>
      </c>
      <c r="B31" s="26" t="inlineStr">
        <is>
          <t>3-6</t>
        </is>
      </c>
      <c r="C31" s="26" t="inlineStr">
        <is>
          <t>Multi-auditor locking</t>
        </is>
      </c>
      <c r="D31" s="26" t="inlineStr">
        <is>
          <t>DEFERRED</t>
        </is>
      </c>
      <c r="E31" s="27" t="n">
        <v>0</v>
      </c>
      <c r="F31" s="28" t="n">
        <v>20</v>
      </c>
      <c r="G31" s="29">
        <f>E31*F31</f>
        <v/>
      </c>
      <c r="H31" s="27" t="n"/>
      <c r="I31" s="29">
        <f>H31*F31</f>
        <v/>
      </c>
      <c r="J31" s="27">
        <f>H31-E31</f>
        <v/>
      </c>
      <c r="K31" s="29">
        <f>I31-G31</f>
        <v/>
      </c>
      <c r="L31" s="26" t="inlineStr">
        <is>
          <t>deferred</t>
        </is>
      </c>
      <c r="M31" s="26" t="inlineStr">
        <is>
          <t>Single-auditor MVP</t>
        </is>
      </c>
    </row>
    <row r="32">
      <c r="A32" s="6" t="inlineStr">
        <is>
          <t>Epic 4</t>
        </is>
      </c>
      <c r="B32" s="6" t="inlineStr">
        <is>
          <t>4-1</t>
        </is>
      </c>
      <c r="C32" s="6" t="inlineStr">
        <is>
          <t>Camera + PhotoCaptureField</t>
        </is>
      </c>
      <c r="D32" s="6" t="inlineStr">
        <is>
          <t>B</t>
        </is>
      </c>
      <c r="E32" s="24" t="n">
        <v>12</v>
      </c>
      <c r="F32" s="25" t="n">
        <v>20</v>
      </c>
      <c r="G32" s="14">
        <f>E32*F32</f>
        <v/>
      </c>
      <c r="H32" s="7" t="n"/>
      <c r="I32" s="14">
        <f>H32*F32</f>
        <v/>
      </c>
      <c r="J32" s="7">
        <f>H32-E32</f>
        <v/>
      </c>
      <c r="K32" s="14">
        <f>I32-G32</f>
        <v/>
      </c>
      <c r="L32" s="6" t="inlineStr">
        <is>
          <t>backlog</t>
        </is>
      </c>
      <c r="M32" s="6" t="inlineStr"/>
    </row>
    <row r="33">
      <c r="A33" s="6" t="inlineStr">
        <is>
          <t>Epic 4</t>
        </is>
      </c>
      <c r="B33" s="6" t="inlineStr">
        <is>
          <t>4-2</t>
        </is>
      </c>
      <c r="C33" s="6" t="inlineStr">
        <is>
          <t>Auto-tag + Azure Blob upload API</t>
        </is>
      </c>
      <c r="D33" s="6" t="inlineStr">
        <is>
          <t>A</t>
        </is>
      </c>
      <c r="E33" s="24" t="n">
        <v>10</v>
      </c>
      <c r="F33" s="25" t="n">
        <v>20</v>
      </c>
      <c r="G33" s="14">
        <f>E33*F33</f>
        <v/>
      </c>
      <c r="H33" s="7" t="n"/>
      <c r="I33" s="14">
        <f>H33*F33</f>
        <v/>
      </c>
      <c r="J33" s="7">
        <f>H33-E33</f>
        <v/>
      </c>
      <c r="K33" s="14">
        <f>I33-G33</f>
        <v/>
      </c>
      <c r="L33" s="6" t="inlineStr">
        <is>
          <t>backlog</t>
        </is>
      </c>
      <c r="M33" s="6" t="inlineStr"/>
    </row>
    <row r="34">
      <c r="A34" s="6" t="inlineStr">
        <is>
          <t>Epic 4</t>
        </is>
      </c>
      <c r="B34" s="6" t="inlineStr">
        <is>
          <t>4-3</t>
        </is>
      </c>
      <c r="C34" s="6" t="inlineStr">
        <is>
          <t>Additional photos + comments</t>
        </is>
      </c>
      <c r="D34" s="6" t="inlineStr">
        <is>
          <t>B</t>
        </is>
      </c>
      <c r="E34" s="24" t="n">
        <v>6</v>
      </c>
      <c r="F34" s="25" t="n">
        <v>20</v>
      </c>
      <c r="G34" s="14">
        <f>E34*F34</f>
        <v/>
      </c>
      <c r="H34" s="7" t="n"/>
      <c r="I34" s="14">
        <f>H34*F34</f>
        <v/>
      </c>
      <c r="J34" s="7">
        <f>H34-E34</f>
        <v/>
      </c>
      <c r="K34" s="14">
        <f>I34-G34</f>
        <v/>
      </c>
      <c r="L34" s="6" t="inlineStr">
        <is>
          <t>backlog</t>
        </is>
      </c>
      <c r="M34" s="6" t="inlineStr"/>
    </row>
    <row r="35">
      <c r="A35" s="26" t="inlineStr">
        <is>
          <t>Epic 4</t>
        </is>
      </c>
      <c r="B35" s="26" t="inlineStr">
        <is>
          <t>4-4</t>
        </is>
      </c>
      <c r="C35" s="26" t="inlineStr">
        <is>
          <t>Upload queue retry</t>
        </is>
      </c>
      <c r="D35" s="26" t="inlineStr">
        <is>
          <t>DEFERRED</t>
        </is>
      </c>
      <c r="E35" s="27" t="n">
        <v>0</v>
      </c>
      <c r="F35" s="28" t="n">
        <v>20</v>
      </c>
      <c r="G35" s="29">
        <f>E35*F35</f>
        <v/>
      </c>
      <c r="H35" s="27" t="n"/>
      <c r="I35" s="29">
        <f>H35*F35</f>
        <v/>
      </c>
      <c r="J35" s="27">
        <f>H35-E35</f>
        <v/>
      </c>
      <c r="K35" s="29">
        <f>I35-G35</f>
        <v/>
      </c>
      <c r="L35" s="26" t="inlineStr">
        <is>
          <t>deferred</t>
        </is>
      </c>
      <c r="M35" s="26" t="inlineStr">
        <is>
          <t>Fail-loud MVP</t>
        </is>
      </c>
    </row>
    <row r="36">
      <c r="A36" s="6" t="inlineStr">
        <is>
          <t>Epic 5</t>
        </is>
      </c>
      <c r="B36" s="6" t="inlineStr">
        <is>
          <t>5-1</t>
        </is>
      </c>
      <c r="C36" s="6" t="inlineStr">
        <is>
          <t>General section screens (minimal)</t>
        </is>
      </c>
      <c r="D36" s="6" t="inlineStr">
        <is>
          <t>B</t>
        </is>
      </c>
      <c r="E36" s="24" t="n">
        <v>6</v>
      </c>
      <c r="F36" s="25" t="n">
        <v>20</v>
      </c>
      <c r="G36" s="14">
        <f>E36*F36</f>
        <v/>
      </c>
      <c r="H36" s="7" t="n"/>
      <c r="I36" s="14">
        <f>H36*F36</f>
        <v/>
      </c>
      <c r="J36" s="7">
        <f>H36-E36</f>
        <v/>
      </c>
      <c r="K36" s="14">
        <f>I36-G36</f>
        <v/>
      </c>
      <c r="L36" s="6" t="inlineStr">
        <is>
          <t>backlog</t>
        </is>
      </c>
      <c r="M36" s="6" t="inlineStr"/>
    </row>
    <row r="37">
      <c r="A37" s="26" t="inlineStr">
        <is>
          <t>Epic 5</t>
        </is>
      </c>
      <c r="B37" s="26" t="inlineStr">
        <is>
          <t>5-2</t>
        </is>
      </c>
      <c r="C37" s="26" t="inlineStr">
        <is>
          <t>HVAC section</t>
        </is>
      </c>
      <c r="D37" s="26" t="inlineStr">
        <is>
          <t>DEFERRED</t>
        </is>
      </c>
      <c r="E37" s="27" t="n">
        <v>0</v>
      </c>
      <c r="F37" s="28" t="n">
        <v>20</v>
      </c>
      <c r="G37" s="29">
        <f>E37*F37</f>
        <v/>
      </c>
      <c r="H37" s="27" t="n"/>
      <c r="I37" s="29">
        <f>H37*F37</f>
        <v/>
      </c>
      <c r="J37" s="27">
        <f>H37-E37</f>
        <v/>
      </c>
      <c r="K37" s="29">
        <f>I37-G37</f>
        <v/>
      </c>
      <c r="L37" s="26" t="inlineStr">
        <is>
          <t>deferred</t>
        </is>
      </c>
      <c r="M37" s="26" t="inlineStr">
        <is>
          <t>V2</t>
        </is>
      </c>
    </row>
    <row r="38">
      <c r="A38" s="26" t="inlineStr">
        <is>
          <t>Epic 5</t>
        </is>
      </c>
      <c r="B38" s="26" t="inlineStr">
        <is>
          <t>5-3</t>
        </is>
      </c>
      <c r="C38" s="26" t="inlineStr">
        <is>
          <t>Lighting + envelope</t>
        </is>
      </c>
      <c r="D38" s="26" t="inlineStr">
        <is>
          <t>DEFERRED</t>
        </is>
      </c>
      <c r="E38" s="27" t="n">
        <v>0</v>
      </c>
      <c r="F38" s="28" t="n">
        <v>20</v>
      </c>
      <c r="G38" s="29">
        <f>E38*F38</f>
        <v/>
      </c>
      <c r="H38" s="27" t="n"/>
      <c r="I38" s="29">
        <f>H38*F38</f>
        <v/>
      </c>
      <c r="J38" s="27">
        <f>H38-E38</f>
        <v/>
      </c>
      <c r="K38" s="29">
        <f>I38-G38</f>
        <v/>
      </c>
      <c r="L38" s="26" t="inlineStr">
        <is>
          <t>deferred</t>
        </is>
      </c>
      <c r="M38" s="26" t="inlineStr">
        <is>
          <t>V2</t>
        </is>
      </c>
    </row>
    <row r="39">
      <c r="A39" s="6" t="inlineStr">
        <is>
          <t>Epic 5</t>
        </is>
      </c>
      <c r="B39" s="6" t="inlineStr">
        <is>
          <t>5-4</t>
        </is>
      </c>
      <c r="C39" s="6" t="inlineStr">
        <is>
          <t>Review + submit screen</t>
        </is>
      </c>
      <c r="D39" s="6" t="inlineStr">
        <is>
          <t>B</t>
        </is>
      </c>
      <c r="E39" s="24" t="n">
        <v>8</v>
      </c>
      <c r="F39" s="25" t="n">
        <v>20</v>
      </c>
      <c r="G39" s="14">
        <f>E39*F39</f>
        <v/>
      </c>
      <c r="H39" s="7" t="n"/>
      <c r="I39" s="14">
        <f>H39*F39</f>
        <v/>
      </c>
      <c r="J39" s="7">
        <f>H39-E39</f>
        <v/>
      </c>
      <c r="K39" s="14">
        <f>I39-G39</f>
        <v/>
      </c>
      <c r="L39" s="6" t="inlineStr">
        <is>
          <t>backlog</t>
        </is>
      </c>
      <c r="M39" s="6" t="inlineStr"/>
    </row>
    <row r="40">
      <c r="A40" s="6" t="inlineStr">
        <is>
          <t>Epic 5</t>
        </is>
      </c>
      <c r="B40" s="6" t="inlineStr">
        <is>
          <t>5-5</t>
        </is>
      </c>
      <c r="C40" s="6" t="inlineStr">
        <is>
          <t>Submission confirmation + email</t>
        </is>
      </c>
      <c r="D40" s="6" t="inlineStr">
        <is>
          <t>A+B</t>
        </is>
      </c>
      <c r="E40" s="24" t="n">
        <v>6</v>
      </c>
      <c r="F40" s="25" t="n">
        <v>20</v>
      </c>
      <c r="G40" s="14">
        <f>E40*F40</f>
        <v/>
      </c>
      <c r="H40" s="7" t="n"/>
      <c r="I40" s="14">
        <f>H40*F40</f>
        <v/>
      </c>
      <c r="J40" s="7">
        <f>H40-E40</f>
        <v/>
      </c>
      <c r="K40" s="14">
        <f>I40-G40</f>
        <v/>
      </c>
      <c r="L40" s="6" t="inlineStr">
        <is>
          <t>backlog</t>
        </is>
      </c>
      <c r="M40" s="6" t="inlineStr">
        <is>
          <t>SendGrid free tier</t>
        </is>
      </c>
    </row>
    <row r="41">
      <c r="A41" s="6" t="inlineStr">
        <is>
          <t>Epic 6</t>
        </is>
      </c>
      <c r="B41" s="6" t="inlineStr">
        <is>
          <t>6-1</t>
        </is>
      </c>
      <c r="C41" s="6" t="inlineStr">
        <is>
          <t>Store reference seed script</t>
        </is>
      </c>
      <c r="D41" s="6" t="inlineStr">
        <is>
          <t>A</t>
        </is>
      </c>
      <c r="E41" s="24" t="n">
        <v>3</v>
      </c>
      <c r="F41" s="25" t="n">
        <v>20</v>
      </c>
      <c r="G41" s="14">
        <f>E41*F41</f>
        <v/>
      </c>
      <c r="H41" s="7" t="n"/>
      <c r="I41" s="14">
        <f>H41*F41</f>
        <v/>
      </c>
      <c r="J41" s="7">
        <f>H41-E41</f>
        <v/>
      </c>
      <c r="K41" s="14">
        <f>I41-G41</f>
        <v/>
      </c>
      <c r="L41" s="6" t="inlineStr">
        <is>
          <t>backlog</t>
        </is>
      </c>
      <c r="M41" s="6" t="inlineStr">
        <is>
          <t>SQL seed — no UI</t>
        </is>
      </c>
    </row>
    <row r="42">
      <c r="A42" s="6" t="inlineStr">
        <is>
          <t>Epic 6</t>
        </is>
      </c>
      <c r="B42" s="6" t="inlineStr">
        <is>
          <t>6-2</t>
        </is>
      </c>
      <c r="C42" s="6" t="inlineStr">
        <is>
          <t>Compressor regression seed script</t>
        </is>
      </c>
      <c r="D42" s="6" t="inlineStr">
        <is>
          <t>A</t>
        </is>
      </c>
      <c r="E42" s="24" t="n">
        <v>3</v>
      </c>
      <c r="F42" s="25" t="n">
        <v>20</v>
      </c>
      <c r="G42" s="14">
        <f>E42*F42</f>
        <v/>
      </c>
      <c r="H42" s="7" t="n"/>
      <c r="I42" s="14">
        <f>H42*F42</f>
        <v/>
      </c>
      <c r="J42" s="7">
        <f>H42-E42</f>
        <v/>
      </c>
      <c r="K42" s="14">
        <f>I42-G42</f>
        <v/>
      </c>
      <c r="L42" s="6" t="inlineStr">
        <is>
          <t>backlog</t>
        </is>
      </c>
      <c r="M42" s="6" t="inlineStr">
        <is>
          <t>SQL seed — no UI</t>
        </is>
      </c>
    </row>
    <row r="43">
      <c r="A43" s="26" t="inlineStr">
        <is>
          <t>Epic 6</t>
        </is>
      </c>
      <c r="B43" s="26" t="inlineStr">
        <is>
          <t>6-3</t>
        </is>
      </c>
      <c r="C43" s="26" t="inlineStr">
        <is>
          <t>Weather data retrieval</t>
        </is>
      </c>
      <c r="D43" s="26" t="inlineStr">
        <is>
          <t>DEFERRED</t>
        </is>
      </c>
      <c r="E43" s="27" t="n">
        <v>0</v>
      </c>
      <c r="F43" s="28" t="n">
        <v>20</v>
      </c>
      <c r="G43" s="29">
        <f>E43*F43</f>
        <v/>
      </c>
      <c r="H43" s="27" t="n"/>
      <c r="I43" s="29">
        <f>H43*F43</f>
        <v/>
      </c>
      <c r="J43" s="27">
        <f>H43-E43</f>
        <v/>
      </c>
      <c r="K43" s="29">
        <f>I43-G43</f>
        <v/>
      </c>
      <c r="L43" s="26" t="inlineStr">
        <is>
          <t>deferred</t>
        </is>
      </c>
      <c r="M43" s="26" t="inlineStr">
        <is>
          <t>Not needed without baseline</t>
        </is>
      </c>
    </row>
    <row r="44">
      <c r="A44" s="6" t="inlineStr">
        <is>
          <t>Epic 7</t>
        </is>
      </c>
      <c r="B44" s="6" t="inlineStr">
        <is>
          <t>7-1</t>
        </is>
      </c>
      <c r="C44" s="6" t="inlineStr">
        <is>
          <t>Audit queue API + list UI (simple)</t>
        </is>
      </c>
      <c r="D44" s="6" t="inlineStr">
        <is>
          <t>A+B</t>
        </is>
      </c>
      <c r="E44" s="24" t="n">
        <v>6</v>
      </c>
      <c r="F44" s="25" t="n">
        <v>20</v>
      </c>
      <c r="G44" s="14">
        <f>E44*F44</f>
        <v/>
      </c>
      <c r="H44" s="7" t="n"/>
      <c r="I44" s="14">
        <f>H44*F44</f>
        <v/>
      </c>
      <c r="J44" s="7">
        <f>H44-E44</f>
        <v/>
      </c>
      <c r="K44" s="14">
        <f>I44-G44</f>
        <v/>
      </c>
      <c r="L44" s="6" t="inlineStr">
        <is>
          <t>backlog</t>
        </is>
      </c>
      <c r="M44" s="6" t="inlineStr">
        <is>
          <t>No filters; simple list</t>
        </is>
      </c>
    </row>
    <row r="45">
      <c r="A45" s="26" t="inlineStr">
        <is>
          <t>Epic 7</t>
        </is>
      </c>
      <c r="B45" s="26" t="inlineStr">
        <is>
          <t>7-2</t>
        </is>
      </c>
      <c r="C45" s="26" t="inlineStr">
        <is>
          <t>SLA timer + detail sheet</t>
        </is>
      </c>
      <c r="D45" s="26" t="inlineStr">
        <is>
          <t>DEFERRED</t>
        </is>
      </c>
      <c r="E45" s="27" t="n">
        <v>0</v>
      </c>
      <c r="F45" s="28" t="n">
        <v>20</v>
      </c>
      <c r="G45" s="29">
        <f>E45*F45</f>
        <v/>
      </c>
      <c r="H45" s="27" t="n"/>
      <c r="I45" s="29">
        <f>H45*F45</f>
        <v/>
      </c>
      <c r="J45" s="27">
        <f>H45-E45</f>
        <v/>
      </c>
      <c r="K45" s="29">
        <f>I45-G45</f>
        <v/>
      </c>
      <c r="L45" s="26" t="inlineStr">
        <is>
          <t>deferred</t>
        </is>
      </c>
      <c r="M45" s="26" t="inlineStr">
        <is>
          <t>V2</t>
        </is>
      </c>
    </row>
    <row r="46">
      <c r="A46" s="26" t="inlineStr">
        <is>
          <t>Epic 7</t>
        </is>
      </c>
      <c r="B46" s="26" t="inlineStr">
        <is>
          <t>7-3</t>
        </is>
      </c>
      <c r="C46" s="26" t="inlineStr">
        <is>
          <t>State machine transitions</t>
        </is>
      </c>
      <c r="D46" s="26" t="inlineStr">
        <is>
          <t>DEFERRED</t>
        </is>
      </c>
      <c r="E46" s="27" t="n">
        <v>0</v>
      </c>
      <c r="F46" s="28" t="n">
        <v>20</v>
      </c>
      <c r="G46" s="29">
        <f>E46*F46</f>
        <v/>
      </c>
      <c r="H46" s="27" t="n"/>
      <c r="I46" s="29">
        <f>H46*F46</f>
        <v/>
      </c>
      <c r="J46" s="27">
        <f>H46-E46</f>
        <v/>
      </c>
      <c r="K46" s="29">
        <f>I46-G46</f>
        <v/>
      </c>
      <c r="L46" s="26" t="inlineStr">
        <is>
          <t>deferred</t>
        </is>
      </c>
      <c r="M46" s="26" t="inlineStr">
        <is>
          <t>Simple transitions in MVP</t>
        </is>
      </c>
    </row>
    <row r="47">
      <c r="A47" s="26" t="inlineStr">
        <is>
          <t>Epic 7</t>
        </is>
      </c>
      <c r="B47" s="26" t="inlineStr">
        <is>
          <t>7-4</t>
        </is>
      </c>
      <c r="C47" s="26" t="inlineStr">
        <is>
          <t>Photo lock enforcement</t>
        </is>
      </c>
      <c r="D47" s="26" t="inlineStr">
        <is>
          <t>DEFERRED</t>
        </is>
      </c>
      <c r="E47" s="27" t="n">
        <v>0</v>
      </c>
      <c r="F47" s="28" t="n">
        <v>20</v>
      </c>
      <c r="G47" s="29">
        <f>E47*F47</f>
        <v/>
      </c>
      <c r="H47" s="27" t="n"/>
      <c r="I47" s="29">
        <f>H47*F47</f>
        <v/>
      </c>
      <c r="J47" s="27">
        <f>H47-E47</f>
        <v/>
      </c>
      <c r="K47" s="29">
        <f>I47-G47</f>
        <v/>
      </c>
      <c r="L47" s="26" t="inlineStr">
        <is>
          <t>deferred</t>
        </is>
      </c>
      <c r="M47" s="26" t="inlineStr">
        <is>
          <t>V2</t>
        </is>
      </c>
    </row>
    <row r="48">
      <c r="A48" s="6" t="inlineStr">
        <is>
          <t>Epic 8</t>
        </is>
      </c>
      <c r="B48" s="6" t="inlineStr">
        <is>
          <t>8-1</t>
        </is>
      </c>
      <c r="C48" s="6" t="inlineStr">
        <is>
          <t>ECM refrigeration calc</t>
        </is>
      </c>
      <c r="D48" s="6" t="inlineStr">
        <is>
          <t>A</t>
        </is>
      </c>
      <c r="E48" s="24" t="n">
        <v>24</v>
      </c>
      <c r="F48" s="25" t="n">
        <v>20</v>
      </c>
      <c r="G48" s="14">
        <f>E48*F48</f>
        <v/>
      </c>
      <c r="H48" s="7" t="n"/>
      <c r="I48" s="14">
        <f>H48*F48</f>
        <v/>
      </c>
      <c r="J48" s="7">
        <f>H48-E48</f>
        <v/>
      </c>
      <c r="K48" s="14">
        <f>I48-G48</f>
        <v/>
      </c>
      <c r="L48" s="6" t="inlineStr">
        <is>
          <t>backlog</t>
        </is>
      </c>
      <c r="M48" s="6" t="inlineStr">
        <is>
          <t>Core calc — Node for MVP</t>
        </is>
      </c>
    </row>
    <row r="49">
      <c r="A49" s="26" t="inlineStr">
        <is>
          <t>Epic 8</t>
        </is>
      </c>
      <c r="B49" s="26" t="inlineStr">
        <is>
          <t>8-2</t>
        </is>
      </c>
      <c r="C49" s="26" t="inlineStr">
        <is>
          <t>Energy baseline regression</t>
        </is>
      </c>
      <c r="D49" s="26" t="inlineStr">
        <is>
          <t>DEFERRED</t>
        </is>
      </c>
      <c r="E49" s="27" t="n">
        <v>0</v>
      </c>
      <c r="F49" s="28" t="n">
        <v>20</v>
      </c>
      <c r="G49" s="29">
        <f>E49*F49</f>
        <v/>
      </c>
      <c r="H49" s="27" t="n"/>
      <c r="I49" s="29">
        <f>H49*F49</f>
        <v/>
      </c>
      <c r="J49" s="27">
        <f>H49-E49</f>
        <v/>
      </c>
      <c r="K49" s="29">
        <f>I49-G49</f>
        <v/>
      </c>
      <c r="L49" s="26" t="inlineStr">
        <is>
          <t>deferred</t>
        </is>
      </c>
      <c r="M49" s="26" t="inlineStr">
        <is>
          <t>V2</t>
        </is>
      </c>
    </row>
    <row r="50">
      <c r="A50" s="26" t="inlineStr">
        <is>
          <t>Epic 8</t>
        </is>
      </c>
      <c r="B50" s="26" t="inlineStr">
        <is>
          <t>8-3</t>
        </is>
      </c>
      <c r="C50" s="26" t="inlineStr">
        <is>
          <t>LLM anomaly flagging</t>
        </is>
      </c>
      <c r="D50" s="26" t="inlineStr">
        <is>
          <t>DEFERRED</t>
        </is>
      </c>
      <c r="E50" s="27" t="n">
        <v>0</v>
      </c>
      <c r="F50" s="28" t="n">
        <v>20</v>
      </c>
      <c r="G50" s="29">
        <f>E50*F50</f>
        <v/>
      </c>
      <c r="H50" s="27" t="n"/>
      <c r="I50" s="29">
        <f>H50*F50</f>
        <v/>
      </c>
      <c r="J50" s="27">
        <f>H50-E50</f>
        <v/>
      </c>
      <c r="K50" s="29">
        <f>I50-G50</f>
        <v/>
      </c>
      <c r="L50" s="26" t="inlineStr">
        <is>
          <t>deferred</t>
        </is>
      </c>
      <c r="M50" s="26" t="inlineStr">
        <is>
          <t>V2 — biggest deferred feature</t>
        </is>
      </c>
    </row>
    <row r="51">
      <c r="A51" s="26" t="inlineStr">
        <is>
          <t>Epic 8</t>
        </is>
      </c>
      <c r="B51" s="26" t="inlineStr">
        <is>
          <t>8-4</t>
        </is>
      </c>
      <c r="C51" s="26" t="inlineStr">
        <is>
          <t>Admin flag override</t>
        </is>
      </c>
      <c r="D51" s="26" t="inlineStr">
        <is>
          <t>DEFERRED</t>
        </is>
      </c>
      <c r="E51" s="27" t="n">
        <v>0</v>
      </c>
      <c r="F51" s="28" t="n">
        <v>20</v>
      </c>
      <c r="G51" s="29">
        <f>E51*F51</f>
        <v/>
      </c>
      <c r="H51" s="27" t="n"/>
      <c r="I51" s="29">
        <f>H51*F51</f>
        <v/>
      </c>
      <c r="J51" s="27">
        <f>H51-E51</f>
        <v/>
      </c>
      <c r="K51" s="29">
        <f>I51-G51</f>
        <v/>
      </c>
      <c r="L51" s="26" t="inlineStr">
        <is>
          <t>deferred</t>
        </is>
      </c>
      <c r="M51" s="26" t="inlineStr">
        <is>
          <t>Needs 8-3</t>
        </is>
      </c>
    </row>
    <row r="52">
      <c r="A52" s="6" t="inlineStr">
        <is>
          <t>Epic 8</t>
        </is>
      </c>
      <c r="B52" s="6" t="inlineStr">
        <is>
          <t>8-5</t>
        </is>
      </c>
      <c r="C52" s="6" t="inlineStr">
        <is>
          <t>Calc inputs/outputs view</t>
        </is>
      </c>
      <c r="D52" s="6" t="inlineStr">
        <is>
          <t>B</t>
        </is>
      </c>
      <c r="E52" s="24" t="n">
        <v>6</v>
      </c>
      <c r="F52" s="25" t="n">
        <v>20</v>
      </c>
      <c r="G52" s="14">
        <f>E52*F52</f>
        <v/>
      </c>
      <c r="H52" s="7" t="n"/>
      <c r="I52" s="14">
        <f>H52*F52</f>
        <v/>
      </c>
      <c r="J52" s="7">
        <f>H52-E52</f>
        <v/>
      </c>
      <c r="K52" s="14">
        <f>I52-G52</f>
        <v/>
      </c>
      <c r="L52" s="6" t="inlineStr">
        <is>
          <t>backlog</t>
        </is>
      </c>
      <c r="M52" s="6" t="inlineStr">
        <is>
          <t>Basic read-only</t>
        </is>
      </c>
    </row>
    <row r="53">
      <c r="A53" s="6" t="inlineStr">
        <is>
          <t>Epic 9</t>
        </is>
      </c>
      <c r="B53" s="6" t="inlineStr">
        <is>
          <t>9-1</t>
        </is>
      </c>
      <c r="C53" s="6" t="inlineStr">
        <is>
          <t>Puppeteer PDF renderer</t>
        </is>
      </c>
      <c r="D53" s="6" t="inlineStr">
        <is>
          <t>A</t>
        </is>
      </c>
      <c r="E53" s="24" t="n">
        <v>12</v>
      </c>
      <c r="F53" s="25" t="n">
        <v>20</v>
      </c>
      <c r="G53" s="14">
        <f>E53*F53</f>
        <v/>
      </c>
      <c r="H53" s="7" t="n"/>
      <c r="I53" s="14">
        <f>H53*F53</f>
        <v/>
      </c>
      <c r="J53" s="7">
        <f>H53-E53</f>
        <v/>
      </c>
      <c r="K53" s="14">
        <f>I53-G53</f>
        <v/>
      </c>
      <c r="L53" s="6" t="inlineStr">
        <is>
          <t>backlog</t>
        </is>
      </c>
      <c r="M53" s="6" t="inlineStr">
        <is>
          <t>Self-contained HTML bundle</t>
        </is>
      </c>
    </row>
    <row r="54">
      <c r="A54" s="6" t="inlineStr">
        <is>
          <t>Epic 9</t>
        </is>
      </c>
      <c r="B54" s="6" t="inlineStr">
        <is>
          <t>9-2a</t>
        </is>
      </c>
      <c r="C54" s="6" t="inlineStr">
        <is>
          <t>Admin approve + publish API</t>
        </is>
      </c>
      <c r="D54" s="6" t="inlineStr">
        <is>
          <t>A</t>
        </is>
      </c>
      <c r="E54" s="24" t="n">
        <v>4</v>
      </c>
      <c r="F54" s="25" t="n">
        <v>20</v>
      </c>
      <c r="G54" s="14">
        <f>E54*F54</f>
        <v/>
      </c>
      <c r="H54" s="7" t="n"/>
      <c r="I54" s="14">
        <f>H54*F54</f>
        <v/>
      </c>
      <c r="J54" s="7">
        <f>H54-E54</f>
        <v/>
      </c>
      <c r="K54" s="14">
        <f>I54-G54</f>
        <v/>
      </c>
      <c r="L54" s="6" t="inlineStr">
        <is>
          <t>backlog</t>
        </is>
      </c>
      <c r="M54" s="6" t="inlineStr"/>
    </row>
    <row r="55">
      <c r="A55" s="6" t="inlineStr">
        <is>
          <t>Epic 9</t>
        </is>
      </c>
      <c r="B55" s="6" t="inlineStr">
        <is>
          <t>9-2b</t>
        </is>
      </c>
      <c r="C55" s="6" t="inlineStr">
        <is>
          <t>Admin approve UI</t>
        </is>
      </c>
      <c r="D55" s="6" t="inlineStr">
        <is>
          <t>B</t>
        </is>
      </c>
      <c r="E55" s="24" t="n">
        <v>4</v>
      </c>
      <c r="F55" s="25" t="n">
        <v>20</v>
      </c>
      <c r="G55" s="14">
        <f>E55*F55</f>
        <v/>
      </c>
      <c r="H55" s="7" t="n"/>
      <c r="I55" s="14">
        <f>H55*F55</f>
        <v/>
      </c>
      <c r="J55" s="7">
        <f>H55-E55</f>
        <v/>
      </c>
      <c r="K55" s="14">
        <f>I55-G55</f>
        <v/>
      </c>
      <c r="L55" s="6" t="inlineStr">
        <is>
          <t>backlog</t>
        </is>
      </c>
      <c r="M55" s="6" t="inlineStr"/>
    </row>
    <row r="56">
      <c r="A56" s="26" t="inlineStr">
        <is>
          <t>Epic 9</t>
        </is>
      </c>
      <c r="B56" s="26" t="inlineStr">
        <is>
          <t>9-3</t>
        </is>
      </c>
      <c r="C56" s="26" t="inlineStr">
        <is>
          <t>Report immutability / versioning</t>
        </is>
      </c>
      <c r="D56" s="26" t="inlineStr">
        <is>
          <t>DEFERRED</t>
        </is>
      </c>
      <c r="E56" s="27" t="n">
        <v>0</v>
      </c>
      <c r="F56" s="28" t="n">
        <v>20</v>
      </c>
      <c r="G56" s="29">
        <f>E56*F56</f>
        <v/>
      </c>
      <c r="H56" s="27" t="n"/>
      <c r="I56" s="29">
        <f>H56*F56</f>
        <v/>
      </c>
      <c r="J56" s="27">
        <f>H56-E56</f>
        <v/>
      </c>
      <c r="K56" s="29">
        <f>I56-G56</f>
        <v/>
      </c>
      <c r="L56" s="26" t="inlineStr">
        <is>
          <t>deferred</t>
        </is>
      </c>
      <c r="M56" s="26" t="inlineStr">
        <is>
          <t>V2</t>
        </is>
      </c>
    </row>
    <row r="57">
      <c r="A57" s="6" t="inlineStr">
        <is>
          <t>Epic 9</t>
        </is>
      </c>
      <c r="B57" s="6" t="inlineStr">
        <is>
          <t>9-4</t>
        </is>
      </c>
      <c r="C57" s="6" t="inlineStr">
        <is>
          <t>Client email on publish</t>
        </is>
      </c>
      <c r="D57" s="6" t="inlineStr">
        <is>
          <t>A</t>
        </is>
      </c>
      <c r="E57" s="24" t="n">
        <v>4</v>
      </c>
      <c r="F57" s="25" t="n">
        <v>20</v>
      </c>
      <c r="G57" s="14">
        <f>E57*F57</f>
        <v/>
      </c>
      <c r="H57" s="7" t="n"/>
      <c r="I57" s="14">
        <f>H57*F57</f>
        <v/>
      </c>
      <c r="J57" s="7">
        <f>H57-E57</f>
        <v/>
      </c>
      <c r="K57" s="14">
        <f>I57-G57</f>
        <v/>
      </c>
      <c r="L57" s="6" t="inlineStr">
        <is>
          <t>backlog</t>
        </is>
      </c>
      <c r="M57" s="6" t="inlineStr">
        <is>
          <t>SendGrid</t>
        </is>
      </c>
    </row>
    <row r="58">
      <c r="A58" s="26" t="inlineStr">
        <is>
          <t>Epic 9</t>
        </is>
      </c>
      <c r="B58" s="26" t="inlineStr">
        <is>
          <t>9-5</t>
        </is>
      </c>
      <c r="C58" s="26" t="inlineStr">
        <is>
          <t>Report regeneration</t>
        </is>
      </c>
      <c r="D58" s="26" t="inlineStr">
        <is>
          <t>DEFERRED</t>
        </is>
      </c>
      <c r="E58" s="27" t="n">
        <v>0</v>
      </c>
      <c r="F58" s="28" t="n">
        <v>20</v>
      </c>
      <c r="G58" s="29">
        <f>E58*F58</f>
        <v/>
      </c>
      <c r="H58" s="27" t="n"/>
      <c r="I58" s="29">
        <f>H58*F58</f>
        <v/>
      </c>
      <c r="J58" s="27">
        <f>H58-E58</f>
        <v/>
      </c>
      <c r="K58" s="29">
        <f>I58-G58</f>
        <v/>
      </c>
      <c r="L58" s="26" t="inlineStr">
        <is>
          <t>deferred</t>
        </is>
      </c>
      <c r="M58" s="26" t="inlineStr">
        <is>
          <t>V2</t>
        </is>
      </c>
    </row>
    <row r="59">
      <c r="A59" s="26" t="inlineStr">
        <is>
          <t>Epic 10</t>
        </is>
      </c>
      <c r="B59" s="26" t="inlineStr">
        <is>
          <t>10-1</t>
        </is>
      </c>
      <c r="C59" s="26" t="inlineStr">
        <is>
          <t>Client portal dashboard</t>
        </is>
      </c>
      <c r="D59" s="26" t="inlineStr">
        <is>
          <t>DEFERRED</t>
        </is>
      </c>
      <c r="E59" s="27" t="n">
        <v>0</v>
      </c>
      <c r="F59" s="28" t="n">
        <v>20</v>
      </c>
      <c r="G59" s="29">
        <f>E59*F59</f>
        <v/>
      </c>
      <c r="H59" s="27" t="n"/>
      <c r="I59" s="29">
        <f>H59*F59</f>
        <v/>
      </c>
      <c r="J59" s="27">
        <f>H59-E59</f>
        <v/>
      </c>
      <c r="K59" s="29">
        <f>I59-G59</f>
        <v/>
      </c>
      <c r="L59" s="26" t="inlineStr">
        <is>
          <t>deferred</t>
        </is>
      </c>
      <c r="M59" s="26" t="inlineStr">
        <is>
          <t>Email PDF instead</t>
        </is>
      </c>
    </row>
    <row r="60">
      <c r="A60" s="26" t="inlineStr">
        <is>
          <t>Epic 10</t>
        </is>
      </c>
      <c r="B60" s="26" t="inlineStr">
        <is>
          <t>10-2</t>
        </is>
      </c>
      <c r="C60" s="26" t="inlineStr">
        <is>
          <t>Client portal report view</t>
        </is>
      </c>
      <c r="D60" s="26" t="inlineStr">
        <is>
          <t>DEFERRED</t>
        </is>
      </c>
      <c r="E60" s="27" t="n">
        <v>0</v>
      </c>
      <c r="F60" s="28" t="n">
        <v>20</v>
      </c>
      <c r="G60" s="29">
        <f>E60*F60</f>
        <v/>
      </c>
      <c r="H60" s="27" t="n"/>
      <c r="I60" s="29">
        <f>H60*F60</f>
        <v/>
      </c>
      <c r="J60" s="27">
        <f>H60-E60</f>
        <v/>
      </c>
      <c r="K60" s="29">
        <f>I60-G60</f>
        <v/>
      </c>
      <c r="L60" s="26" t="inlineStr">
        <is>
          <t>deferred</t>
        </is>
      </c>
      <c r="M60" s="26" t="inlineStr">
        <is>
          <t>Email PDF instead</t>
        </is>
      </c>
    </row>
    <row r="61">
      <c r="A61" s="26" t="inlineStr">
        <is>
          <t>Epic 10</t>
        </is>
      </c>
      <c r="B61" s="26" t="inlineStr">
        <is>
          <t>10-3</t>
        </is>
      </c>
      <c r="C61" s="26" t="inlineStr">
        <is>
          <t>Client portal ECM summary</t>
        </is>
      </c>
      <c r="D61" s="26" t="inlineStr">
        <is>
          <t>DEFERRED</t>
        </is>
      </c>
      <c r="E61" s="27" t="n">
        <v>0</v>
      </c>
      <c r="F61" s="28" t="n">
        <v>20</v>
      </c>
      <c r="G61" s="29">
        <f>E61*F61</f>
        <v/>
      </c>
      <c r="H61" s="27" t="n"/>
      <c r="I61" s="29">
        <f>H61*F61</f>
        <v/>
      </c>
      <c r="J61" s="27">
        <f>H61-E61</f>
        <v/>
      </c>
      <c r="K61" s="29">
        <f>I61-G61</f>
        <v/>
      </c>
      <c r="L61" s="26" t="inlineStr">
        <is>
          <t>deferred</t>
        </is>
      </c>
      <c r="M61" s="26" t="inlineStr">
        <is>
          <t>V2</t>
        </is>
      </c>
    </row>
    <row r="62">
      <c r="A62" s="26" t="inlineStr">
        <is>
          <t>Epic 10</t>
        </is>
      </c>
      <c r="B62" s="26" t="inlineStr">
        <is>
          <t>10-4</t>
        </is>
      </c>
      <c r="C62" s="26" t="inlineStr">
        <is>
          <t>Client portal notifications</t>
        </is>
      </c>
      <c r="D62" s="26" t="inlineStr">
        <is>
          <t>DEFERRED</t>
        </is>
      </c>
      <c r="E62" s="27" t="n">
        <v>0</v>
      </c>
      <c r="F62" s="28" t="n">
        <v>20</v>
      </c>
      <c r="G62" s="29">
        <f>E62*F62</f>
        <v/>
      </c>
      <c r="H62" s="27" t="n"/>
      <c r="I62" s="29">
        <f>H62*F62</f>
        <v/>
      </c>
      <c r="J62" s="27">
        <f>H62-E62</f>
        <v/>
      </c>
      <c r="K62" s="29">
        <f>I62-G62</f>
        <v/>
      </c>
      <c r="L62" s="26" t="inlineStr">
        <is>
          <t>deferred</t>
        </is>
      </c>
      <c r="M62" s="26" t="inlineStr">
        <is>
          <t>V2</t>
        </is>
      </c>
    </row>
    <row r="64">
      <c r="A64" s="30" t="n"/>
      <c r="B64" s="30" t="n"/>
      <c r="C64" s="30" t="inlineStr">
        <is>
          <t>MVP In-Scope Claude Work Hours</t>
        </is>
      </c>
      <c r="D64" s="30" t="n"/>
      <c r="E64" s="31">
        <f>SUM(E4:E62)</f>
        <v/>
      </c>
      <c r="F64" s="30" t="n"/>
      <c r="G64" s="32">
        <f>SUM(G4:G62)</f>
        <v/>
      </c>
      <c r="H64" s="31">
        <f>SUM(H4:H62)</f>
        <v/>
      </c>
      <c r="I64" s="32">
        <f>SUM(I4:I62)</f>
        <v/>
      </c>
      <c r="J64" s="31">
        <f>SUM(J4:J62)</f>
        <v/>
      </c>
      <c r="K64" s="32">
        <f>SUM(K4:K62)</f>
        <v/>
      </c>
      <c r="L64" s="30" t="n"/>
      <c r="M64" s="30" t="n"/>
    </row>
    <row r="65">
      <c r="A65" s="33" t="n"/>
      <c r="B65" s="33" t="n"/>
      <c r="C65" s="33" t="inlineStr">
        <is>
          <t>Terminal A sequential hours</t>
        </is>
      </c>
      <c r="D65" s="33" t="n"/>
      <c r="E65" s="34">
        <f>SUMIFS(E4:E62,D4:D62,"A")+SUMIFS(E4:E62,D4:D62,"Seq (A)")+SUMIFS(E4:E62,D4:D62,"A+B")/2</f>
        <v/>
      </c>
      <c r="F65" s="33" t="n"/>
      <c r="G65" s="33" t="n"/>
      <c r="H65" s="33" t="n"/>
      <c r="I65" s="33" t="n"/>
      <c r="J65" s="33" t="n"/>
      <c r="K65" s="33" t="n"/>
      <c r="L65" s="33" t="n"/>
      <c r="M65" s="33" t="n"/>
    </row>
    <row r="66">
      <c r="A66" s="33" t="n"/>
      <c r="B66" s="33" t="n"/>
      <c r="C66" s="33" t="inlineStr">
        <is>
          <t>Terminal B sequential hours</t>
        </is>
      </c>
      <c r="D66" s="33" t="n"/>
      <c r="E66" s="34">
        <f>SUMIFS(E4:E62,D4:D62,"B")+SUMIFS(E4:E62,D4:D62,"A+B")/2</f>
        <v/>
      </c>
      <c r="F66" s="33" t="n"/>
      <c r="G66" s="33" t="n"/>
      <c r="H66" s="33" t="n"/>
      <c r="I66" s="33" t="n"/>
      <c r="J66" s="33" t="n"/>
      <c r="K66" s="33" t="n"/>
      <c r="L66" s="33" t="n"/>
      <c r="M66" s="33" t="n"/>
    </row>
    <row r="67">
      <c r="A67" s="33" t="n"/>
      <c r="B67" s="33" t="n"/>
      <c r="C67" s="33" t="inlineStr">
        <is>
          <t>Calendar time (slower terminal = critical path)</t>
        </is>
      </c>
      <c r="D67" s="33" t="n"/>
      <c r="E67" s="34">
        <f>MAX(E65,E66)</f>
        <v/>
      </c>
      <c r="F67" s="33" t="n"/>
      <c r="G67" s="33" t="n"/>
      <c r="H67" s="33" t="n"/>
      <c r="I67" s="33" t="n"/>
      <c r="J67" s="33" t="n"/>
      <c r="K67" s="33" t="n"/>
      <c r="L67" s="33" t="n"/>
      <c r="M67" s="33" t="n"/>
    </row>
    <row r="68">
      <c r="A68" s="35" t="n"/>
      <c r="B68" s="35" t="n"/>
      <c r="C68" s="35" t="inlineStr">
        <is>
          <t>Your effective hours (÷ 1.4 parallel efficiency)</t>
        </is>
      </c>
      <c r="D68" s="35" t="n"/>
      <c r="E68" s="36">
        <f>E64/1.4</f>
        <v/>
      </c>
      <c r="F68" s="37" t="n">
        <v>20</v>
      </c>
      <c r="G68" s="38">
        <f>E68*F68</f>
        <v/>
      </c>
      <c r="H68" s="35" t="n"/>
      <c r="I68" s="35" t="n"/>
      <c r="J68" s="35" t="n"/>
      <c r="K68" s="35" t="n"/>
      <c r="L68" s="35" t="n"/>
      <c r="M68" s="35" t="n"/>
    </row>
    <row r="69">
      <c r="A69" s="35" t="n"/>
      <c r="B69" s="35" t="n"/>
      <c r="C69" s="35" t="inlineStr">
        <is>
          <t>MVP LABOR COST @ your rate</t>
        </is>
      </c>
      <c r="D69" s="35" t="n"/>
      <c r="E69" s="35" t="n"/>
      <c r="F69" s="35" t="n"/>
      <c r="G69" s="38">
        <f>G68</f>
        <v/>
      </c>
      <c r="H69" s="35" t="n"/>
      <c r="I69" s="35" t="n"/>
      <c r="J69" s="35" t="n"/>
      <c r="K69" s="35" t="n"/>
      <c r="L69" s="35" t="n"/>
      <c r="M69" s="35" t="n"/>
    </row>
  </sheetData>
  <mergeCells count="1">
    <mergeCell ref="A1:M1"/>
  </mergeCells>
  <conditionalFormatting sqref="K4:K6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8E04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0" customWidth="1" min="3" max="3"/>
    <col width="14" customWidth="1" min="4" max="4"/>
    <col width="10" customWidth="1" min="5" max="5"/>
    <col width="15" customWidth="1" min="6" max="6"/>
    <col width="16" customWidth="1" min="7" max="7"/>
    <col width="14" customWidth="1" min="8" max="8"/>
    <col width="14" customWidth="1" min="9" max="9"/>
    <col width="13" customWidth="1" min="10" max="10"/>
  </cols>
  <sheetData>
    <row r="1" ht="30" customHeight="1">
      <c r="A1" s="23" t="inlineStr">
        <is>
          <t>Subscriptions &amp; Dev Tools (2-month MVP build)</t>
        </is>
      </c>
    </row>
    <row r="3" ht="28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Plan</t>
        </is>
      </c>
      <c r="D3" s="3" t="inlineStr">
        <is>
          <t>Monthly (USD)</t>
        </is>
      </c>
      <c r="E3" s="3" t="inlineStr">
        <is>
          <t>Months</t>
        </is>
      </c>
      <c r="F3" s="3" t="inlineStr">
        <is>
          <t>Est Total (USD)</t>
        </is>
      </c>
      <c r="G3" s="3" t="inlineStr">
        <is>
          <t>Actual Total (USD)</t>
        </is>
      </c>
      <c r="H3" s="3" t="inlineStr">
        <is>
          <t>Variance (USD)</t>
        </is>
      </c>
      <c r="I3" s="3" t="inlineStr">
        <is>
          <t>Vendor</t>
        </is>
      </c>
      <c r="J3" s="3" t="inlineStr">
        <is>
          <t>Required?</t>
        </is>
      </c>
    </row>
    <row r="4">
      <c r="A4" s="6" t="inlineStr">
        <is>
          <t>Claude</t>
        </is>
      </c>
      <c r="B4" s="6" t="inlineStr">
        <is>
          <t>Claude Code Max 20x</t>
        </is>
      </c>
      <c r="C4" s="6" t="inlineStr">
        <is>
          <t>Max 20x</t>
        </is>
      </c>
      <c r="D4" s="14" t="n">
        <v>200</v>
      </c>
      <c r="E4" s="7" t="n">
        <v>2</v>
      </c>
      <c r="F4" s="14">
        <f>D4*E4</f>
        <v/>
      </c>
      <c r="G4" s="14" t="n"/>
      <c r="H4" s="14">
        <f>G4-F4</f>
        <v/>
      </c>
      <c r="I4" s="6" t="inlineStr">
        <is>
          <t>Anthropic</t>
        </is>
      </c>
      <c r="J4" s="6" t="inlineStr">
        <is>
          <t>Required</t>
        </is>
      </c>
    </row>
    <row r="5">
      <c r="A5" s="6" t="inlineStr">
        <is>
          <t>Source Control</t>
        </is>
      </c>
      <c r="B5" s="6" t="inlineStr">
        <is>
          <t>GitHub Free</t>
        </is>
      </c>
      <c r="C5" s="6" t="inlineStr">
        <is>
          <t>Free</t>
        </is>
      </c>
      <c r="D5" s="14" t="n">
        <v>0</v>
      </c>
      <c r="E5" s="7" t="n">
        <v>2</v>
      </c>
      <c r="F5" s="14">
        <f>D5*E5</f>
        <v/>
      </c>
      <c r="G5" s="14" t="n"/>
      <c r="H5" s="14">
        <f>G5-F5</f>
        <v/>
      </c>
      <c r="I5" s="6" t="inlineStr">
        <is>
          <t>GitHub</t>
        </is>
      </c>
      <c r="J5" s="6" t="inlineStr">
        <is>
          <t>Required</t>
        </is>
      </c>
    </row>
    <row r="6">
      <c r="A6" s="6" t="inlineStr">
        <is>
          <t>Design</t>
        </is>
      </c>
      <c r="B6" s="6" t="inlineStr">
        <is>
          <t>Figma Free</t>
        </is>
      </c>
      <c r="C6" s="6" t="inlineStr">
        <is>
          <t>Free</t>
        </is>
      </c>
      <c r="D6" s="14" t="n">
        <v>0</v>
      </c>
      <c r="E6" s="7" t="n">
        <v>2</v>
      </c>
      <c r="F6" s="14">
        <f>D6*E6</f>
        <v/>
      </c>
      <c r="G6" s="14" t="n"/>
      <c r="H6" s="14">
        <f>G6-F6</f>
        <v/>
      </c>
      <c r="I6" s="6" t="inlineStr">
        <is>
          <t>Figma</t>
        </is>
      </c>
      <c r="J6" s="6" t="inlineStr">
        <is>
          <t>Optional</t>
        </is>
      </c>
    </row>
    <row r="7">
      <c r="A7" s="6" t="inlineStr">
        <is>
          <t>Password Mgmt</t>
        </is>
      </c>
      <c r="B7" s="6" t="inlineStr">
        <is>
          <t>1Password (optional)</t>
        </is>
      </c>
      <c r="C7" s="6" t="inlineStr">
        <is>
          <t>Individual</t>
        </is>
      </c>
      <c r="D7" s="14" t="n">
        <v>3</v>
      </c>
      <c r="E7" s="7" t="n">
        <v>2</v>
      </c>
      <c r="F7" s="14">
        <f>D7*E7</f>
        <v/>
      </c>
      <c r="G7" s="14" t="n"/>
      <c r="H7" s="14">
        <f>G7-F7</f>
        <v/>
      </c>
      <c r="I7" s="6" t="inlineStr">
        <is>
          <t>1Password</t>
        </is>
      </c>
      <c r="J7" s="6" t="inlineStr">
        <is>
          <t>Optional</t>
        </is>
      </c>
    </row>
    <row r="8">
      <c r="A8" s="6" t="inlineStr">
        <is>
          <t>Error Tracking</t>
        </is>
      </c>
      <c r="B8" s="6" t="inlineStr">
        <is>
          <t>Sentry Developer</t>
        </is>
      </c>
      <c r="C8" s="6" t="inlineStr">
        <is>
          <t>Free</t>
        </is>
      </c>
      <c r="D8" s="14" t="n">
        <v>0</v>
      </c>
      <c r="E8" s="7" t="n">
        <v>2</v>
      </c>
      <c r="F8" s="14">
        <f>D8*E8</f>
        <v/>
      </c>
      <c r="G8" s="14" t="n"/>
      <c r="H8" s="14">
        <f>G8-F8</f>
        <v/>
      </c>
      <c r="I8" s="6" t="inlineStr">
        <is>
          <t>Sentry</t>
        </is>
      </c>
      <c r="J8" s="6" t="inlineStr">
        <is>
          <t>Recommended</t>
        </is>
      </c>
    </row>
    <row r="9">
      <c r="A9" s="6" t="inlineStr">
        <is>
          <t>Project Mgmt</t>
        </is>
      </c>
      <c r="B9" s="6" t="inlineStr">
        <is>
          <t>Notion / Linear</t>
        </is>
      </c>
      <c r="C9" s="6" t="inlineStr">
        <is>
          <t>Free</t>
        </is>
      </c>
      <c r="D9" s="14" t="n">
        <v>0</v>
      </c>
      <c r="E9" s="7" t="n">
        <v>2</v>
      </c>
      <c r="F9" s="14">
        <f>D9*E9</f>
        <v/>
      </c>
      <c r="G9" s="14" t="n"/>
      <c r="H9" s="14">
        <f>G9-F9</f>
        <v/>
      </c>
      <c r="I9" s="6" t="inlineStr">
        <is>
          <t>Notion</t>
        </is>
      </c>
      <c r="J9" s="6" t="inlineStr">
        <is>
          <t>Optional</t>
        </is>
      </c>
    </row>
    <row r="10">
      <c r="A10" s="6" t="inlineStr">
        <is>
          <t>Diagrams</t>
        </is>
      </c>
      <c r="B10" s="6" t="inlineStr">
        <is>
          <t>Excalidraw</t>
        </is>
      </c>
      <c r="C10" s="6" t="inlineStr">
        <is>
          <t>Free</t>
        </is>
      </c>
      <c r="D10" s="14" t="n">
        <v>0</v>
      </c>
      <c r="E10" s="7" t="n">
        <v>2</v>
      </c>
      <c r="F10" s="14">
        <f>D10*E10</f>
        <v/>
      </c>
      <c r="G10" s="14" t="n"/>
      <c r="H10" s="14">
        <f>G10-F10</f>
        <v/>
      </c>
      <c r="I10" s="6" t="inlineStr">
        <is>
          <t>Excalidraw</t>
        </is>
      </c>
      <c r="J10" s="6" t="inlineStr">
        <is>
          <t>Optional</t>
        </is>
      </c>
    </row>
    <row r="12">
      <c r="A12" s="35" t="n"/>
      <c r="B12" s="35" t="inlineStr">
        <is>
          <t>TOTAL (required only — Claude Max)</t>
        </is>
      </c>
      <c r="C12" s="35" t="n"/>
      <c r="D12" s="35" t="n"/>
      <c r="E12" s="35" t="n"/>
      <c r="F12" s="38">
        <f>F4</f>
        <v/>
      </c>
      <c r="G12" s="35" t="n"/>
      <c r="H12" s="38">
        <f>H4</f>
        <v/>
      </c>
      <c r="I12" s="35" t="n"/>
      <c r="J12" s="35" t="n"/>
    </row>
    <row r="13">
      <c r="A13" s="30" t="n"/>
      <c r="B13" s="30" t="inlineStr">
        <is>
          <t>TOTAL (all lines)</t>
        </is>
      </c>
      <c r="C13" s="30" t="n"/>
      <c r="D13" s="30" t="n"/>
      <c r="E13" s="30" t="n"/>
      <c r="F13" s="32">
        <f>SUM(F4:F10)</f>
        <v/>
      </c>
      <c r="G13" s="30" t="n"/>
      <c r="H13" s="32">
        <f>SUM(H4:H10)</f>
        <v/>
      </c>
      <c r="I13" s="30" t="n"/>
      <c r="J13" s="30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8E04"/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4" customWidth="1" min="4" max="4"/>
    <col width="10" customWidth="1" min="5" max="5"/>
    <col width="15" customWidth="1" min="6" max="6"/>
    <col width="14" customWidth="1" min="7" max="7"/>
    <col width="14" customWidth="1" min="8" max="8"/>
  </cols>
  <sheetData>
    <row r="1" ht="30" customHeight="1">
      <c r="A1" s="23" t="inlineStr">
        <is>
          <t>Azure Infrastructure + Third-Party (MVP build period)</t>
        </is>
      </c>
    </row>
    <row r="3" ht="28" customHeight="1">
      <c r="A3" s="3" t="inlineStr">
        <is>
          <t>Environment</t>
        </is>
      </c>
      <c r="B3" s="3" t="inlineStr">
        <is>
          <t>Service</t>
        </is>
      </c>
      <c r="C3" s="3" t="inlineStr">
        <is>
          <t>Tier / SKU</t>
        </is>
      </c>
      <c r="D3" s="3" t="inlineStr">
        <is>
          <t>Monthly (USD)</t>
        </is>
      </c>
      <c r="E3" s="3" t="inlineStr">
        <is>
          <t>Months</t>
        </is>
      </c>
      <c r="F3" s="3" t="inlineStr">
        <is>
          <t>Est Total (USD)</t>
        </is>
      </c>
      <c r="G3" s="3" t="inlineStr">
        <is>
          <t>Actual (USD)</t>
        </is>
      </c>
      <c r="H3" s="3" t="inlineStr">
        <is>
          <t>Variance (USD)</t>
        </is>
      </c>
    </row>
    <row r="4">
      <c r="A4" s="6" t="inlineStr">
        <is>
          <t>Dev</t>
        </is>
      </c>
      <c r="B4" s="6" t="inlineStr">
        <is>
          <t>Azure SQL Database</t>
        </is>
      </c>
      <c r="C4" s="6" t="inlineStr">
        <is>
          <t>Basic (5 DTU)</t>
        </is>
      </c>
      <c r="D4" s="14" t="n">
        <v>5</v>
      </c>
      <c r="E4" s="7" t="n">
        <v>2</v>
      </c>
      <c r="F4" s="14">
        <f>D4*E4</f>
        <v/>
      </c>
      <c r="G4" s="14" t="n"/>
      <c r="H4" s="14">
        <f>G4-F4</f>
        <v/>
      </c>
    </row>
    <row r="5">
      <c r="A5" s="6" t="inlineStr">
        <is>
          <t>Dev</t>
        </is>
      </c>
      <c r="B5" s="6" t="inlineStr">
        <is>
          <t>Azure App Service (API + PDF combined)</t>
        </is>
      </c>
      <c r="C5" s="6" t="inlineStr">
        <is>
          <t>B1 Linux</t>
        </is>
      </c>
      <c r="D5" s="14" t="n">
        <v>13</v>
      </c>
      <c r="E5" s="7" t="n">
        <v>2</v>
      </c>
      <c r="F5" s="14">
        <f>D5*E5</f>
        <v/>
      </c>
      <c r="G5" s="14" t="n"/>
      <c r="H5" s="14">
        <f>G5-F5</f>
        <v/>
      </c>
    </row>
    <row r="6">
      <c r="A6" s="6" t="inlineStr">
        <is>
          <t>Dev</t>
        </is>
      </c>
      <c r="B6" s="6" t="inlineStr">
        <is>
          <t>Azure Static Web Apps x2</t>
        </is>
      </c>
      <c r="C6" s="6" t="inlineStr">
        <is>
          <t>Free tier</t>
        </is>
      </c>
      <c r="D6" s="14" t="n">
        <v>0</v>
      </c>
      <c r="E6" s="7" t="n">
        <v>2</v>
      </c>
      <c r="F6" s="14">
        <f>D6*E6</f>
        <v/>
      </c>
      <c r="G6" s="14" t="n"/>
      <c r="H6" s="14">
        <f>G6-F6</f>
        <v/>
      </c>
    </row>
    <row r="7">
      <c r="A7" s="6" t="inlineStr">
        <is>
          <t>Dev</t>
        </is>
      </c>
      <c r="B7" s="6" t="inlineStr">
        <is>
          <t>Azure Blob Storage</t>
        </is>
      </c>
      <c r="C7" s="6" t="inlineStr">
        <is>
          <t>Hot &lt;5GB</t>
        </is>
      </c>
      <c r="D7" s="14" t="n">
        <v>2</v>
      </c>
      <c r="E7" s="7" t="n">
        <v>2</v>
      </c>
      <c r="F7" s="14">
        <f>D7*E7</f>
        <v/>
      </c>
      <c r="G7" s="14" t="n"/>
      <c r="H7" s="14">
        <f>G7-F7</f>
        <v/>
      </c>
    </row>
    <row r="8">
      <c r="A8" s="6" t="inlineStr">
        <is>
          <t>Dev</t>
        </is>
      </c>
      <c r="B8" s="6" t="inlineStr">
        <is>
          <t>Azure Cache for Redis</t>
        </is>
      </c>
      <c r="C8" s="6" t="inlineStr">
        <is>
          <t>Basic C0</t>
        </is>
      </c>
      <c r="D8" s="14" t="n">
        <v>17</v>
      </c>
      <c r="E8" s="7" t="n">
        <v>2</v>
      </c>
      <c r="F8" s="14">
        <f>D8*E8</f>
        <v/>
      </c>
      <c r="G8" s="14" t="n"/>
      <c r="H8" s="14">
        <f>G8-F8</f>
        <v/>
      </c>
    </row>
    <row r="9">
      <c r="A9" s="6" t="inlineStr">
        <is>
          <t>Dev</t>
        </is>
      </c>
      <c r="B9" s="6" t="inlineStr">
        <is>
          <t>Application Insights</t>
        </is>
      </c>
      <c r="C9" s="6" t="inlineStr">
        <is>
          <t>Free tier</t>
        </is>
      </c>
      <c r="D9" s="14" t="n">
        <v>0</v>
      </c>
      <c r="E9" s="7" t="n">
        <v>2</v>
      </c>
      <c r="F9" s="14">
        <f>D9*E9</f>
        <v/>
      </c>
      <c r="G9" s="14" t="n"/>
      <c r="H9" s="14">
        <f>G9-F9</f>
        <v/>
      </c>
    </row>
    <row r="10">
      <c r="A10" s="6" t="inlineStr">
        <is>
          <t>Dev</t>
        </is>
      </c>
      <c r="B10" s="6" t="inlineStr">
        <is>
          <t>Azure Key Vault</t>
        </is>
      </c>
      <c r="C10" s="6" t="inlineStr">
        <is>
          <t>Standard</t>
        </is>
      </c>
      <c r="D10" s="14" t="n">
        <v>3</v>
      </c>
      <c r="E10" s="7" t="n">
        <v>2</v>
      </c>
      <c r="F10" s="14">
        <f>D10*E10</f>
        <v/>
      </c>
      <c r="G10" s="14" t="n"/>
      <c r="H10" s="14">
        <f>G10-F10</f>
        <v/>
      </c>
    </row>
    <row r="11">
      <c r="A11" s="30" t="n"/>
      <c r="B11" s="30" t="inlineStr">
        <is>
          <t>Dev SUBTOTAL</t>
        </is>
      </c>
      <c r="C11" s="30" t="n"/>
      <c r="D11" s="30" t="n"/>
      <c r="E11" s="30" t="n"/>
      <c r="F11" s="32">
        <f>SUM(F4:F10)</f>
        <v/>
      </c>
      <c r="G11" s="32">
        <f>SUM(G4:G10)</f>
        <v/>
      </c>
      <c r="H11" s="32">
        <f>SUM(H4:H10)</f>
        <v/>
      </c>
    </row>
    <row r="13">
      <c r="A13" s="6" t="inlineStr">
        <is>
          <t>Prod</t>
        </is>
      </c>
      <c r="B13" s="6" t="inlineStr">
        <is>
          <t>Azure SQL Database</t>
        </is>
      </c>
      <c r="C13" s="6" t="inlineStr">
        <is>
          <t>S0 (10 DTU)</t>
        </is>
      </c>
      <c r="D13" s="14" t="n">
        <v>15</v>
      </c>
      <c r="E13" s="7" t="n">
        <v>1</v>
      </c>
      <c r="F13" s="14">
        <f>D13*E13</f>
        <v/>
      </c>
      <c r="G13" s="14" t="n"/>
      <c r="H13" s="14">
        <f>G13-F13</f>
        <v/>
      </c>
    </row>
    <row r="14">
      <c r="A14" s="6" t="inlineStr">
        <is>
          <t>Prod</t>
        </is>
      </c>
      <c r="B14" s="6" t="inlineStr">
        <is>
          <t>Azure App Service (API + PDF)</t>
        </is>
      </c>
      <c r="C14" s="6" t="inlineStr">
        <is>
          <t>B2 Linux</t>
        </is>
      </c>
      <c r="D14" s="14" t="n">
        <v>55</v>
      </c>
      <c r="E14" s="7" t="n">
        <v>1</v>
      </c>
      <c r="F14" s="14">
        <f>D14*E14</f>
        <v/>
      </c>
      <c r="G14" s="14" t="n"/>
      <c r="H14" s="14">
        <f>G14-F14</f>
        <v/>
      </c>
    </row>
    <row r="15">
      <c r="A15" s="6" t="inlineStr">
        <is>
          <t>Prod</t>
        </is>
      </c>
      <c r="B15" s="6" t="inlineStr">
        <is>
          <t>Azure Static Web Apps x2</t>
        </is>
      </c>
      <c r="C15" s="6" t="inlineStr">
        <is>
          <t>Standard</t>
        </is>
      </c>
      <c r="D15" s="14" t="n">
        <v>9</v>
      </c>
      <c r="E15" s="7" t="n">
        <v>1</v>
      </c>
      <c r="F15" s="14">
        <f>D15*E15</f>
        <v/>
      </c>
      <c r="G15" s="14" t="n"/>
      <c r="H15" s="14">
        <f>G15-F15</f>
        <v/>
      </c>
    </row>
    <row r="16">
      <c r="A16" s="6" t="inlineStr">
        <is>
          <t>Prod</t>
        </is>
      </c>
      <c r="B16" s="6" t="inlineStr">
        <is>
          <t>Azure Blob Storage</t>
        </is>
      </c>
      <c r="C16" s="6" t="inlineStr">
        <is>
          <t>Hot + 10GB</t>
        </is>
      </c>
      <c r="D16" s="14" t="n">
        <v>5</v>
      </c>
      <c r="E16" s="7" t="n">
        <v>1</v>
      </c>
      <c r="F16" s="14">
        <f>D16*E16</f>
        <v/>
      </c>
      <c r="G16" s="14" t="n"/>
      <c r="H16" s="14">
        <f>G16-F16</f>
        <v/>
      </c>
    </row>
    <row r="17">
      <c r="A17" s="6" t="inlineStr">
        <is>
          <t>Prod</t>
        </is>
      </c>
      <c r="B17" s="6" t="inlineStr">
        <is>
          <t>Azure Cache for Redis</t>
        </is>
      </c>
      <c r="C17" s="6" t="inlineStr">
        <is>
          <t>Basic C0</t>
        </is>
      </c>
      <c r="D17" s="14" t="n">
        <v>17</v>
      </c>
      <c r="E17" s="7" t="n">
        <v>1</v>
      </c>
      <c r="F17" s="14">
        <f>D17*E17</f>
        <v/>
      </c>
      <c r="G17" s="14" t="n"/>
      <c r="H17" s="14">
        <f>G17-F17</f>
        <v/>
      </c>
    </row>
    <row r="18">
      <c r="A18" s="6" t="inlineStr">
        <is>
          <t>Prod</t>
        </is>
      </c>
      <c r="B18" s="6" t="inlineStr">
        <is>
          <t>Application Insights</t>
        </is>
      </c>
      <c r="C18" s="6" t="inlineStr">
        <is>
          <t>Pay-as-you-go</t>
        </is>
      </c>
      <c r="D18" s="14" t="n">
        <v>10</v>
      </c>
      <c r="E18" s="7" t="n">
        <v>1</v>
      </c>
      <c r="F18" s="14">
        <f>D18*E18</f>
        <v/>
      </c>
      <c r="G18" s="14" t="n"/>
      <c r="H18" s="14">
        <f>G18-F18</f>
        <v/>
      </c>
    </row>
    <row r="19">
      <c r="A19" s="6" t="inlineStr">
        <is>
          <t>Prod</t>
        </is>
      </c>
      <c r="B19" s="6" t="inlineStr">
        <is>
          <t>Azure Key Vault</t>
        </is>
      </c>
      <c r="C19" s="6" t="inlineStr">
        <is>
          <t>Standard</t>
        </is>
      </c>
      <c r="D19" s="14" t="n">
        <v>3</v>
      </c>
      <c r="E19" s="7" t="n">
        <v>1</v>
      </c>
      <c r="F19" s="14">
        <f>D19*E19</f>
        <v/>
      </c>
      <c r="G19" s="14" t="n"/>
      <c r="H19" s="14">
        <f>G19-F19</f>
        <v/>
      </c>
    </row>
    <row r="20">
      <c r="A20" s="6" t="inlineStr">
        <is>
          <t>Prod</t>
        </is>
      </c>
      <c r="B20" s="6" t="inlineStr">
        <is>
          <t>Bandwidth / Egress</t>
        </is>
      </c>
      <c r="C20" s="6" t="inlineStr">
        <is>
          <t>Canada Central</t>
        </is>
      </c>
      <c r="D20" s="14" t="n">
        <v>5</v>
      </c>
      <c r="E20" s="7" t="n">
        <v>1</v>
      </c>
      <c r="F20" s="14">
        <f>D20*E20</f>
        <v/>
      </c>
      <c r="G20" s="14" t="n"/>
      <c r="H20" s="14">
        <f>G20-F20</f>
        <v/>
      </c>
    </row>
    <row r="21">
      <c r="A21" s="30" t="n"/>
      <c r="B21" s="30" t="inlineStr">
        <is>
          <t>Prod SUBTOTAL</t>
        </is>
      </c>
      <c r="C21" s="30" t="n"/>
      <c r="D21" s="30" t="n"/>
      <c r="E21" s="30" t="n"/>
      <c r="F21" s="32">
        <f>SUM(F13:F20)</f>
        <v/>
      </c>
      <c r="G21" s="32">
        <f>SUM(G13:G20)</f>
        <v/>
      </c>
      <c r="H21" s="32">
        <f>SUM(H13:H20)</f>
        <v/>
      </c>
    </row>
    <row r="23">
      <c r="A23" s="6" t="inlineStr">
        <is>
          <t>3rd-party</t>
        </is>
      </c>
      <c r="B23" s="6" t="inlineStr">
        <is>
          <t>SendGrid</t>
        </is>
      </c>
      <c r="C23" s="6" t="inlineStr">
        <is>
          <t>Free (100/day)</t>
        </is>
      </c>
      <c r="D23" s="14" t="n">
        <v>0</v>
      </c>
      <c r="E23" s="7" t="n">
        <v>2</v>
      </c>
      <c r="F23" s="14">
        <f>D23*E23</f>
        <v/>
      </c>
      <c r="G23" s="14" t="n"/>
      <c r="H23" s="14">
        <f>G23-F23</f>
        <v/>
      </c>
    </row>
    <row r="24">
      <c r="A24" s="6" t="inlineStr">
        <is>
          <t>3rd-party</t>
        </is>
      </c>
      <c r="B24" s="6" t="inlineStr">
        <is>
          <t>Weather API</t>
        </is>
      </c>
      <c r="C24" s="6" t="inlineStr">
        <is>
          <t>NOT NEEDED (deferred)</t>
        </is>
      </c>
      <c r="D24" s="14" t="n">
        <v>0</v>
      </c>
      <c r="E24" s="7" t="n">
        <v>2</v>
      </c>
      <c r="F24" s="14">
        <f>D24*E24</f>
        <v/>
      </c>
      <c r="G24" s="14" t="n"/>
      <c r="H24" s="14">
        <f>G24-F24</f>
        <v/>
      </c>
    </row>
    <row r="25">
      <c r="A25" s="6" t="inlineStr">
        <is>
          <t>3rd-party</t>
        </is>
      </c>
      <c r="B25" s="6" t="inlineStr">
        <is>
          <t>Domain (amortized)</t>
        </is>
      </c>
      <c r="C25" s="6" t="inlineStr">
        <is>
          <t>.com</t>
        </is>
      </c>
      <c r="D25" s="14" t="n">
        <v>1</v>
      </c>
      <c r="E25" s="7" t="n">
        <v>2</v>
      </c>
      <c r="F25" s="14">
        <f>D25*E25</f>
        <v/>
      </c>
      <c r="G25" s="14" t="n"/>
      <c r="H25" s="14">
        <f>G25-F25</f>
        <v/>
      </c>
    </row>
    <row r="26">
      <c r="A26" s="6" t="inlineStr">
        <is>
          <t>3rd-party</t>
        </is>
      </c>
      <c r="B26" s="6" t="inlineStr">
        <is>
          <t>Managed SSL</t>
        </is>
      </c>
      <c r="C26" s="6" t="inlineStr">
        <is>
          <t>Azure (free)</t>
        </is>
      </c>
      <c r="D26" s="14" t="n">
        <v>0</v>
      </c>
      <c r="E26" s="7" t="n">
        <v>2</v>
      </c>
      <c r="F26" s="14">
        <f>D26*E26</f>
        <v/>
      </c>
      <c r="G26" s="14" t="n"/>
      <c r="H26" s="14">
        <f>G26-F26</f>
        <v/>
      </c>
    </row>
    <row r="27">
      <c r="A27" s="30" t="n"/>
      <c r="B27" s="30" t="inlineStr">
        <is>
          <t>3rd-party SUBTOTAL</t>
        </is>
      </c>
      <c r="C27" s="30" t="n"/>
      <c r="D27" s="30" t="n"/>
      <c r="E27" s="30" t="n"/>
      <c r="F27" s="32">
        <f>SUM(F23:F26)</f>
        <v/>
      </c>
      <c r="G27" s="32">
        <f>SUM(G23:G26)</f>
        <v/>
      </c>
      <c r="H27" s="32">
        <f>SUM(H23:H26)</f>
        <v/>
      </c>
    </row>
    <row r="29">
      <c r="A29" s="35" t="n"/>
      <c r="B29" s="35" t="inlineStr">
        <is>
          <t>GRAND TOTAL (Dev + Prod launch + 3rd-party)</t>
        </is>
      </c>
      <c r="C29" s="35" t="n"/>
      <c r="D29" s="35" t="n"/>
      <c r="E29" s="35" t="n"/>
      <c r="F29" s="38">
        <f>F11+F21+F27</f>
        <v/>
      </c>
      <c r="G29" s="38">
        <f>G11+G21+G27</f>
        <v/>
      </c>
      <c r="H29" s="38">
        <f>G29-F29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8E04"/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3" customWidth="1" min="4" max="4"/>
    <col width="14" customWidth="1" min="5" max="5"/>
    <col width="15" customWidth="1" min="6" max="6"/>
    <col width="40" customWidth="1" min="7" max="7"/>
  </cols>
  <sheetData>
    <row r="1" ht="30" customHeight="1">
      <c r="A1" s="23" t="inlineStr">
        <is>
          <t>One-Time Costs (MVP launch)</t>
        </is>
      </c>
    </row>
    <row r="3" ht="28" customHeight="1">
      <c r="A3" s="3" t="inlineStr">
        <is>
          <t>Category</t>
        </is>
      </c>
      <c r="B3" s="3" t="inlineStr">
        <is>
          <t>Item</t>
        </is>
      </c>
      <c r="C3" s="3" t="inlineStr">
        <is>
          <t>Est (USD)</t>
        </is>
      </c>
      <c r="D3" s="3" t="inlineStr">
        <is>
          <t>Actual (USD)</t>
        </is>
      </c>
      <c r="E3" s="3" t="inlineStr">
        <is>
          <t>Variance (USD)</t>
        </is>
      </c>
      <c r="F3" s="3" t="inlineStr">
        <is>
          <t>Required?</t>
        </is>
      </c>
      <c r="G3" s="3" t="inlineStr">
        <is>
          <t>Notes</t>
        </is>
      </c>
    </row>
    <row r="4">
      <c r="A4" s="6" t="inlineStr">
        <is>
          <t>Branding</t>
        </is>
      </c>
      <c r="B4" s="6" t="inlineStr">
        <is>
          <t>Logo + brand kit</t>
        </is>
      </c>
      <c r="C4" s="14" t="n">
        <v>0</v>
      </c>
      <c r="D4" s="14" t="n"/>
      <c r="E4" s="14">
        <f>D4-C4</f>
        <v/>
      </c>
      <c r="F4" s="6" t="inlineStr">
        <is>
          <t>Skip</t>
        </is>
      </c>
      <c r="G4" s="6" t="inlineStr">
        <is>
          <t>Use text logo / existing Star Energy branding</t>
        </is>
      </c>
    </row>
    <row r="5">
      <c r="A5" s="6" t="inlineStr">
        <is>
          <t>Branding</t>
        </is>
      </c>
      <c r="B5" s="6" t="inlineStr">
        <is>
          <t>Illustrations / icons</t>
        </is>
      </c>
      <c r="C5" s="14" t="n">
        <v>0</v>
      </c>
      <c r="D5" s="14" t="n"/>
      <c r="E5" s="14">
        <f>D5-C5</f>
        <v/>
      </c>
      <c r="F5" s="6" t="inlineStr">
        <is>
          <t>Skip</t>
        </is>
      </c>
      <c r="G5" s="6" t="inlineStr">
        <is>
          <t>Free Heroicons / Lucide</t>
        </is>
      </c>
    </row>
    <row r="6">
      <c r="A6" s="6" t="inlineStr">
        <is>
          <t>Legal</t>
        </is>
      </c>
      <c r="B6" s="6" t="inlineStr">
        <is>
          <t>T&amp;Cs + Privacy (Termly template)</t>
        </is>
      </c>
      <c r="C6" s="14" t="n">
        <v>50</v>
      </c>
      <c r="D6" s="14" t="n"/>
      <c r="E6" s="14">
        <f>D6-C6</f>
        <v/>
      </c>
      <c r="F6" s="6" t="inlineStr">
        <is>
          <t>Recommended</t>
        </is>
      </c>
      <c r="G6" s="6" t="inlineStr">
        <is>
          <t>PIPEDA basics</t>
        </is>
      </c>
    </row>
    <row r="7">
      <c r="A7" s="6" t="inlineStr">
        <is>
          <t>Legal</t>
        </is>
      </c>
      <c r="B7" s="6" t="inlineStr">
        <is>
          <t>Lawyer review</t>
        </is>
      </c>
      <c r="C7" s="14" t="n">
        <v>0</v>
      </c>
      <c r="D7" s="14" t="n"/>
      <c r="E7" s="14">
        <f>D7-C7</f>
        <v/>
      </c>
      <c r="F7" s="6" t="inlineStr">
        <is>
          <t>Skip</t>
        </is>
      </c>
      <c r="G7" s="6" t="inlineStr">
        <is>
          <t>Defer to post-MVP</t>
        </is>
      </c>
    </row>
    <row r="8">
      <c r="A8" s="6" t="inlineStr">
        <is>
          <t>Compliance</t>
        </is>
      </c>
      <c r="B8" s="6" t="inlineStr">
        <is>
          <t>Security audit / pentest</t>
        </is>
      </c>
      <c r="C8" s="14" t="n">
        <v>0</v>
      </c>
      <c r="D8" s="14" t="n"/>
      <c r="E8" s="14">
        <f>D8-C8</f>
        <v/>
      </c>
      <c r="F8" s="6" t="inlineStr">
        <is>
          <t>Skip</t>
        </is>
      </c>
      <c r="G8" s="6" t="inlineStr">
        <is>
          <t>Defer to pre-client-rollout</t>
        </is>
      </c>
    </row>
    <row r="9">
      <c r="A9" s="6" t="inlineStr">
        <is>
          <t>Compliance</t>
        </is>
      </c>
      <c r="B9" s="6" t="inlineStr">
        <is>
          <t>SOC2 readiness</t>
        </is>
      </c>
      <c r="C9" s="14" t="n">
        <v>0</v>
      </c>
      <c r="D9" s="14" t="n"/>
      <c r="E9" s="14">
        <f>D9-C9</f>
        <v/>
      </c>
      <c r="F9" s="6" t="inlineStr">
        <is>
          <t>Skip</t>
        </is>
      </c>
      <c r="G9" s="6" t="inlineStr">
        <is>
          <t>V2+</t>
        </is>
      </c>
    </row>
    <row r="10">
      <c r="A10" s="6" t="inlineStr">
        <is>
          <t>Domain</t>
        </is>
      </c>
      <c r="B10" s="6" t="inlineStr">
        <is>
          <t>Primary domain (.com)</t>
        </is>
      </c>
      <c r="C10" s="14" t="n">
        <v>15</v>
      </c>
      <c r="D10" s="14" t="n"/>
      <c r="E10" s="14">
        <f>D10-C10</f>
        <v/>
      </c>
      <c r="F10" s="6" t="inlineStr">
        <is>
          <t>Required</t>
        </is>
      </c>
      <c r="G10" s="6" t="inlineStr">
        <is>
          <t>Annual</t>
        </is>
      </c>
    </row>
    <row r="11">
      <c r="A11" s="6" t="inlineStr">
        <is>
          <t>Domain</t>
        </is>
      </c>
      <c r="B11" s="6" t="inlineStr">
        <is>
          <t>Domain privacy</t>
        </is>
      </c>
      <c r="C11" s="14" t="n">
        <v>0</v>
      </c>
      <c r="D11" s="14" t="n"/>
      <c r="E11" s="14">
        <f>D11-C11</f>
        <v/>
      </c>
      <c r="F11" s="6" t="inlineStr">
        <is>
          <t>Optional</t>
        </is>
      </c>
      <c r="G11" s="6" t="inlineStr">
        <is>
          <t>Often free</t>
        </is>
      </c>
    </row>
    <row r="12">
      <c r="A12" s="6" t="inlineStr">
        <is>
          <t>SSL</t>
        </is>
      </c>
      <c r="B12" s="6" t="inlineStr">
        <is>
          <t>Managed SSL</t>
        </is>
      </c>
      <c r="C12" s="14" t="n">
        <v>0</v>
      </c>
      <c r="D12" s="14" t="n"/>
      <c r="E12" s="14">
        <f>D12-C12</f>
        <v/>
      </c>
      <c r="F12" s="6" t="inlineStr">
        <is>
          <t>Required</t>
        </is>
      </c>
      <c r="G12" s="6" t="inlineStr">
        <is>
          <t>Azure App Service managed cert (free)</t>
        </is>
      </c>
    </row>
    <row r="13">
      <c r="A13" s="6" t="inlineStr">
        <is>
          <t>Setup</t>
        </is>
      </c>
      <c r="B13" s="6" t="inlineStr">
        <is>
          <t>Backup / DR config</t>
        </is>
      </c>
      <c r="C13" s="14" t="n">
        <v>0</v>
      </c>
      <c r="D13" s="14" t="n"/>
      <c r="E13" s="14">
        <f>D13-C13</f>
        <v/>
      </c>
      <c r="F13" s="6" t="inlineStr">
        <is>
          <t>Required</t>
        </is>
      </c>
      <c r="G13" s="6" t="inlineStr">
        <is>
          <t>SQL 7-day PITR included</t>
        </is>
      </c>
    </row>
    <row r="14">
      <c r="A14" s="6" t="inlineStr">
        <is>
          <t>Training</t>
        </is>
      </c>
      <c r="B14" s="6" t="inlineStr">
        <is>
          <t>Auditor onboarding (doc + Loom)</t>
        </is>
      </c>
      <c r="C14" s="14" t="n">
        <v>50</v>
      </c>
      <c r="D14" s="14" t="n"/>
      <c r="E14" s="14">
        <f>D14-C14</f>
        <v/>
      </c>
      <c r="F14" s="6" t="inlineStr">
        <is>
          <t>Recommended</t>
        </is>
      </c>
      <c r="G14" s="6" t="inlineStr"/>
    </row>
    <row r="15">
      <c r="A15" s="6" t="inlineStr">
        <is>
          <t>Training</t>
        </is>
      </c>
      <c r="B15" s="6" t="inlineStr">
        <is>
          <t>Client rollout walkthrough</t>
        </is>
      </c>
      <c r="C15" s="14" t="n">
        <v>0</v>
      </c>
      <c r="D15" s="14" t="n"/>
      <c r="E15" s="14">
        <f>D15-C15</f>
        <v/>
      </c>
      <c r="F15" s="6" t="inlineStr">
        <is>
          <t>Skip</t>
        </is>
      </c>
      <c r="G15" s="6" t="inlineStr">
        <is>
          <t>Defer until first client</t>
        </is>
      </c>
    </row>
    <row r="16">
      <c r="A16" s="6" t="inlineStr">
        <is>
          <t>Launch</t>
        </is>
      </c>
      <c r="B16" s="6" t="inlineStr">
        <is>
          <t>Marketing / landing page</t>
        </is>
      </c>
      <c r="C16" s="14" t="n">
        <v>0</v>
      </c>
      <c r="D16" s="14" t="n"/>
      <c r="E16" s="14">
        <f>D16-C16</f>
        <v/>
      </c>
      <c r="F16" s="6" t="inlineStr">
        <is>
          <t>Skip</t>
        </is>
      </c>
      <c r="G16" s="6" t="inlineStr">
        <is>
          <t>Not needed for internal tool</t>
        </is>
      </c>
    </row>
    <row r="17">
      <c r="A17" s="6" t="inlineStr">
        <is>
          <t>Contingency</t>
        </is>
      </c>
      <c r="B17" s="6" t="inlineStr">
        <is>
          <t>Unknown unknowns buffer</t>
        </is>
      </c>
      <c r="C17" s="14" t="n">
        <v>50</v>
      </c>
      <c r="D17" s="14" t="n"/>
      <c r="E17" s="14">
        <f>D17-C17</f>
        <v/>
      </c>
      <c r="F17" s="6" t="inlineStr">
        <is>
          <t>Recommended</t>
        </is>
      </c>
      <c r="G17" s="6" t="inlineStr">
        <is>
          <t>~15% of one-time</t>
        </is>
      </c>
    </row>
    <row r="18">
      <c r="A18" s="35" t="n"/>
      <c r="B18" s="35" t="inlineStr">
        <is>
          <t>TOTAL</t>
        </is>
      </c>
      <c r="C18" s="38">
        <f>SUM(C4:C17)</f>
        <v/>
      </c>
      <c r="D18" s="38">
        <f>SUM(D4:D17)</f>
        <v/>
      </c>
      <c r="E18" s="38">
        <f>SUM(E4:E17)</f>
        <v/>
      </c>
      <c r="F18" s="35" t="n"/>
      <c r="G18" s="35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40" customWidth="1" min="5" max="5"/>
  </cols>
  <sheetData>
    <row r="1" ht="30" customHeight="1">
      <c r="A1" s="23" t="inlineStr">
        <is>
          <t>Year 1 Production Run-Rate (post-launch)</t>
        </is>
      </c>
    </row>
    <row r="3" ht="28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Monthly (USD)</t>
        </is>
      </c>
      <c r="D3" s="3" t="inlineStr">
        <is>
          <t>Annual (USD)</t>
        </is>
      </c>
      <c r="E3" s="3" t="inlineStr">
        <is>
          <t>Notes</t>
        </is>
      </c>
    </row>
    <row r="4">
      <c r="A4" s="6" t="inlineStr">
        <is>
          <t>Infrastructure</t>
        </is>
      </c>
      <c r="B4" s="6" t="inlineStr">
        <is>
          <t>Azure SQL (S0 → S1 after beta)</t>
        </is>
      </c>
      <c r="C4" s="14" t="n">
        <v>15</v>
      </c>
      <c r="D4" s="14">
        <f>C4*12</f>
        <v/>
      </c>
      <c r="E4" s="6" t="inlineStr">
        <is>
          <t>Upgrade when &gt;100 audits/mo</t>
        </is>
      </c>
    </row>
    <row r="5">
      <c r="A5" s="6" t="inlineStr">
        <is>
          <t>Infrastructure</t>
        </is>
      </c>
      <c r="B5" s="6" t="inlineStr">
        <is>
          <t>Azure App Service B2 (API + PDF)</t>
        </is>
      </c>
      <c r="C5" s="14" t="n">
        <v>55</v>
      </c>
      <c r="D5" s="14">
        <f>C5*12</f>
        <v/>
      </c>
      <c r="E5" s="6" t="inlineStr">
        <is>
          <t>Split only under memory pressure</t>
        </is>
      </c>
    </row>
    <row r="6">
      <c r="A6" s="6" t="inlineStr">
        <is>
          <t>Infrastructure</t>
        </is>
      </c>
      <c r="B6" s="6" t="inlineStr">
        <is>
          <t>Azure Static Web Apps x2 Standard</t>
        </is>
      </c>
      <c r="C6" s="14" t="n">
        <v>18</v>
      </c>
      <c r="D6" s="14">
        <f>C6*12</f>
        <v/>
      </c>
      <c r="E6" s="6" t="inlineStr">
        <is>
          <t>Custom domain support</t>
        </is>
      </c>
    </row>
    <row r="7">
      <c r="A7" s="6" t="inlineStr">
        <is>
          <t>Infrastructure</t>
        </is>
      </c>
      <c r="B7" s="6" t="inlineStr">
        <is>
          <t>Azure Blob Storage</t>
        </is>
      </c>
      <c r="C7" s="14" t="n">
        <v>10</v>
      </c>
      <c r="D7" s="14">
        <f>C7*12</f>
        <v/>
      </c>
      <c r="E7" s="6" t="inlineStr">
        <is>
          <t>Hot → Cool lifecycle after 90d</t>
        </is>
      </c>
    </row>
    <row r="8">
      <c r="A8" s="6" t="inlineStr">
        <is>
          <t>Infrastructure</t>
        </is>
      </c>
      <c r="B8" s="6" t="inlineStr">
        <is>
          <t>Azure Cache for Redis (C0)</t>
        </is>
      </c>
      <c r="C8" s="14" t="n">
        <v>17</v>
      </c>
      <c r="D8" s="14">
        <f>C8*12</f>
        <v/>
      </c>
      <c r="E8" s="6" t="inlineStr">
        <is>
          <t>Upgrade to C1 if queue backs up</t>
        </is>
      </c>
    </row>
    <row r="9">
      <c r="A9" s="6" t="inlineStr">
        <is>
          <t>Infrastructure</t>
        </is>
      </c>
      <c r="B9" s="6" t="inlineStr">
        <is>
          <t>Application Insights</t>
        </is>
      </c>
      <c r="C9" s="14" t="n">
        <v>10</v>
      </c>
      <c r="D9" s="14">
        <f>C9*12</f>
        <v/>
      </c>
      <c r="E9" s="6" t="inlineStr">
        <is>
          <t>Low initial traffic</t>
        </is>
      </c>
    </row>
    <row r="10">
      <c r="A10" s="6" t="inlineStr">
        <is>
          <t>Infrastructure</t>
        </is>
      </c>
      <c r="B10" s="6" t="inlineStr">
        <is>
          <t>Key Vault + Monitor + bandwidth</t>
        </is>
      </c>
      <c r="C10" s="14" t="n">
        <v>15</v>
      </c>
      <c r="D10" s="14">
        <f>C10*12</f>
        <v/>
      </c>
      <c r="E10" s="6" t="inlineStr">
        <is>
          <t>Aggregated</t>
        </is>
      </c>
    </row>
    <row r="11">
      <c r="A11" s="30" t="n"/>
      <c r="B11" s="30" t="inlineStr">
        <is>
          <t>INFRA SUBTOTAL</t>
        </is>
      </c>
      <c r="C11" s="32">
        <f>SUM(C4:C10)</f>
        <v/>
      </c>
      <c r="D11" s="32">
        <f>SUM(D4:D10)</f>
        <v/>
      </c>
      <c r="E11" s="30" t="n"/>
    </row>
    <row r="13">
      <c r="A13" s="6" t="inlineStr">
        <is>
          <t>3rd-party</t>
        </is>
      </c>
      <c r="B13" s="6" t="inlineStr">
        <is>
          <t>SendGrid Essentials (post-beta)</t>
        </is>
      </c>
      <c r="C13" s="14" t="n">
        <v>20</v>
      </c>
      <c r="D13" s="14">
        <f>C13*12</f>
        <v/>
      </c>
      <c r="E13" s="6" t="inlineStr">
        <is>
          <t>When &gt;100 emails/day</t>
        </is>
      </c>
    </row>
    <row r="14">
      <c r="A14" s="6" t="inlineStr">
        <is>
          <t>3rd-party</t>
        </is>
      </c>
      <c r="B14" s="6" t="inlineStr">
        <is>
          <t>Domain + managed SSL</t>
        </is>
      </c>
      <c r="C14" s="14" t="n">
        <v>1</v>
      </c>
      <c r="D14" s="14">
        <f>C14*12</f>
        <v/>
      </c>
      <c r="E14" s="6" t="inlineStr">
        <is>
          <t>$15/yr amortized</t>
        </is>
      </c>
    </row>
    <row r="15">
      <c r="A15" s="6" t="inlineStr">
        <is>
          <t>3rd-party</t>
        </is>
      </c>
      <c r="B15" s="6" t="inlineStr">
        <is>
          <t>Sentry Developer (free tier)</t>
        </is>
      </c>
      <c r="C15" s="14" t="n">
        <v>0</v>
      </c>
      <c r="D15" s="14">
        <f>C15*12</f>
        <v/>
      </c>
      <c r="E15" s="6" t="inlineStr">
        <is>
          <t>Until &gt;5k errors/mo</t>
        </is>
      </c>
    </row>
    <row r="16">
      <c r="A16" s="6" t="inlineStr">
        <is>
          <t>Backup</t>
        </is>
      </c>
      <c r="B16" s="6" t="inlineStr">
        <is>
          <t>Extended backup retention</t>
        </is>
      </c>
      <c r="C16" s="14" t="n">
        <v>5</v>
      </c>
      <c r="D16" s="14">
        <f>C16*12</f>
        <v/>
      </c>
      <c r="E16" s="6" t="inlineStr">
        <is>
          <t>Beyond default 7 days</t>
        </is>
      </c>
    </row>
    <row r="17">
      <c r="A17" s="30" t="n"/>
      <c r="B17" s="30" t="inlineStr">
        <is>
          <t>OPS SUBTOTAL</t>
        </is>
      </c>
      <c r="C17" s="32">
        <f>SUM(C13:C16)</f>
        <v/>
      </c>
      <c r="D17" s="32">
        <f>SUM(D13:D16)</f>
        <v/>
      </c>
      <c r="E17" s="30" t="n"/>
    </row>
    <row r="18">
      <c r="A18" s="33" t="n"/>
      <c r="B18" s="33" t="inlineStr">
        <is>
          <t>Contingency (10%)</t>
        </is>
      </c>
      <c r="C18" s="39">
        <f>(C11+C17)*0.1</f>
        <v/>
      </c>
      <c r="D18" s="39">
        <f>C18*12</f>
        <v/>
      </c>
      <c r="E18" s="33" t="n"/>
    </row>
    <row r="19">
      <c r="A19" s="35" t="n"/>
      <c r="B19" s="35" t="inlineStr">
        <is>
          <t>MVP MONTHLY RUN-RATE</t>
        </is>
      </c>
      <c r="C19" s="38">
        <f>C11+C17+C18</f>
        <v/>
      </c>
      <c r="D19" s="38">
        <f>D11+D17+D18</f>
        <v/>
      </c>
      <c r="E19" s="35" t="n"/>
    </row>
    <row r="21">
      <c r="A21" s="40" t="inlineStr">
        <is>
          <t>— V2 FUTURE ADD-ONS (not in MVP run-rate) —</t>
        </is>
      </c>
    </row>
    <row r="22">
      <c r="A22" s="6" t="inlineStr">
        <is>
          <t>V2</t>
        </is>
      </c>
      <c r="B22" s="6" t="inlineStr">
        <is>
          <t>Python calc service (separate plan)</t>
        </is>
      </c>
      <c r="C22" s="14" t="n">
        <v>75</v>
      </c>
      <c r="D22" s="14">
        <f>C22*12</f>
        <v/>
      </c>
      <c r="E22" s="6" t="inlineStr">
        <is>
          <t>When baseline calc ships</t>
        </is>
      </c>
    </row>
    <row r="23">
      <c r="A23" s="6" t="inlineStr">
        <is>
          <t>V2</t>
        </is>
      </c>
      <c r="B23" s="6" t="inlineStr">
        <is>
          <t>Claude API — LLM anomaly flagging</t>
        </is>
      </c>
      <c r="C23" s="14" t="n">
        <v>10</v>
      </c>
      <c r="D23" s="14">
        <f>C23*12</f>
        <v/>
      </c>
      <c r="E23" s="6" t="inlineStr">
        <is>
          <t>~$0.05/audit × 200 audits</t>
        </is>
      </c>
    </row>
    <row r="24">
      <c r="A24" s="6" t="inlineStr">
        <is>
          <t>V2</t>
        </is>
      </c>
      <c r="B24" s="6" t="inlineStr">
        <is>
          <t>OpenWeatherMap Standard</t>
        </is>
      </c>
      <c r="C24" s="14" t="n">
        <v>40</v>
      </c>
      <c r="D24" s="14">
        <f>C24*12</f>
        <v/>
      </c>
      <c r="E24" s="6" t="inlineStr">
        <is>
          <t>For CDD/HDD baseline data</t>
        </is>
      </c>
    </row>
    <row r="25">
      <c r="A25" s="6" t="inlineStr">
        <is>
          <t>V2</t>
        </is>
      </c>
      <c r="B25" s="6" t="inlineStr">
        <is>
          <t>Client portal Static Web App</t>
        </is>
      </c>
      <c r="C25" s="14" t="n">
        <v>9</v>
      </c>
      <c r="D25" s="14">
        <f>C25*12</f>
        <v/>
      </c>
      <c r="E25" s="6" t="inlineStr">
        <is>
          <t>When Epic 10 ships</t>
        </is>
      </c>
    </row>
    <row r="26">
      <c r="A26" s="30" t="n"/>
      <c r="B26" s="30" t="inlineStr">
        <is>
          <t>V2 MONTHLY DELTA</t>
        </is>
      </c>
      <c r="C26" s="32">
        <f>SUM(C22:C25)</f>
        <v/>
      </c>
      <c r="D26" s="32">
        <f>SUM(D22:D25)</f>
        <v/>
      </c>
      <c r="E26" s="30" t="n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B308"/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14" customWidth="1" min="9" max="9"/>
  </cols>
  <sheetData>
    <row r="1" ht="30" customHeight="1">
      <c r="A1" s="23" t="inlineStr">
        <is>
          <t>Claude Token Estimates (dev + future production)</t>
        </is>
      </c>
    </row>
    <row r="3" ht="28" customHeight="1">
      <c r="A3" s="3" t="inlineStr">
        <is>
          <t>Phase</t>
        </is>
      </c>
      <c r="B3" s="3" t="inlineStr">
        <is>
          <t>Activity</t>
        </is>
      </c>
      <c r="C3" s="3" t="inlineStr">
        <is>
          <t>Model</t>
        </is>
      </c>
      <c r="D3" s="3" t="inlineStr">
        <is>
          <t>Input tokens</t>
        </is>
      </c>
      <c r="E3" s="3" t="inlineStr">
        <is>
          <t>Output tokens</t>
        </is>
      </c>
      <c r="F3" s="3" t="inlineStr">
        <is>
          <t>Cache Read %</t>
        </is>
      </c>
      <c r="G3" s="3" t="inlineStr">
        <is>
          <t>Input $/M</t>
        </is>
      </c>
      <c r="H3" s="3" t="inlineStr">
        <is>
          <t>Output $/M</t>
        </is>
      </c>
      <c r="I3" s="3" t="inlineStr">
        <is>
          <t>Est Cost (USD)</t>
        </is>
      </c>
    </row>
    <row r="4">
      <c r="A4" s="6" t="inlineStr">
        <is>
          <t>Dev (sunk)</t>
        </is>
      </c>
      <c r="B4" s="6" t="inlineStr">
        <is>
          <t>PRD generation (completed)</t>
        </is>
      </c>
      <c r="C4" s="6" t="inlineStr">
        <is>
          <t>Sonnet 4.6</t>
        </is>
      </c>
      <c r="D4" s="41" t="n">
        <v>500000</v>
      </c>
      <c r="E4" s="41" t="n">
        <v>80000</v>
      </c>
      <c r="F4" s="42" t="n">
        <v>0.4</v>
      </c>
      <c r="G4" s="14" t="n">
        <v>3</v>
      </c>
      <c r="H4" s="14" t="n">
        <v>15</v>
      </c>
      <c r="I4" s="14">
        <f>((D4*(1-F4)+D4*F4*0.1)*G4+E4*H4)/1000000</f>
        <v/>
      </c>
    </row>
    <row r="5">
      <c r="A5" s="6" t="inlineStr">
        <is>
          <t>Dev (sunk)</t>
        </is>
      </c>
      <c r="B5" s="6" t="inlineStr">
        <is>
          <t>Architecture (completed)</t>
        </is>
      </c>
      <c r="C5" s="6" t="inlineStr">
        <is>
          <t>Sonnet 4.6</t>
        </is>
      </c>
      <c r="D5" s="41" t="n">
        <v>600000</v>
      </c>
      <c r="E5" s="41" t="n">
        <v>100000</v>
      </c>
      <c r="F5" s="42" t="n">
        <v>0.5</v>
      </c>
      <c r="G5" s="14" t="n">
        <v>3</v>
      </c>
      <c r="H5" s="14" t="n">
        <v>15</v>
      </c>
      <c r="I5" s="14">
        <f>((D5*(1-F5)+D5*F5*0.1)*G5+E5*H5)/1000000</f>
        <v/>
      </c>
    </row>
    <row r="6">
      <c r="A6" s="6" t="inlineStr">
        <is>
          <t>Dev (sunk)</t>
        </is>
      </c>
      <c r="B6" s="6" t="inlineStr">
        <is>
          <t>Epics + stories (completed)</t>
        </is>
      </c>
      <c r="C6" s="6" t="inlineStr">
        <is>
          <t>Sonnet 4.6</t>
        </is>
      </c>
      <c r="D6" s="41" t="n">
        <v>800000</v>
      </c>
      <c r="E6" s="41" t="n">
        <v>200000</v>
      </c>
      <c r="F6" s="42" t="n">
        <v>0.5</v>
      </c>
      <c r="G6" s="14" t="n">
        <v>3</v>
      </c>
      <c r="H6" s="14" t="n">
        <v>15</v>
      </c>
      <c r="I6" s="14">
        <f>((D6*(1-F6)+D6*F6*0.1)*G6+E6*H6)/1000000</f>
        <v/>
      </c>
    </row>
    <row r="7">
      <c r="A7" s="6" t="inlineStr">
        <is>
          <t>Dev (sunk)</t>
        </is>
      </c>
      <c r="B7" s="6" t="inlineStr">
        <is>
          <t>UX design (completed)</t>
        </is>
      </c>
      <c r="C7" s="6" t="inlineStr">
        <is>
          <t>Sonnet 4.6</t>
        </is>
      </c>
      <c r="D7" s="41" t="n">
        <v>600000</v>
      </c>
      <c r="E7" s="41" t="n">
        <v>150000</v>
      </c>
      <c r="F7" s="42" t="n">
        <v>0.4</v>
      </c>
      <c r="G7" s="14" t="n">
        <v>3</v>
      </c>
      <c r="H7" s="14" t="n">
        <v>15</v>
      </c>
      <c r="I7" s="14">
        <f>((D7*(1-F7)+D7*F7*0.1)*G7+E7*H7)/1000000</f>
        <v/>
      </c>
    </row>
    <row r="8">
      <c r="A8" s="6" t="inlineStr">
        <is>
          <t>Dev (MVP)</t>
        </is>
      </c>
      <c r="B8" s="6" t="inlineStr">
        <is>
          <t>Per-story impl session (35 stories)</t>
        </is>
      </c>
      <c r="C8" s="6" t="inlineStr">
        <is>
          <t>Sonnet 4.6</t>
        </is>
      </c>
      <c r="D8" s="41" t="n">
        <v>21000000</v>
      </c>
      <c r="E8" s="41" t="n">
        <v>5250000</v>
      </c>
      <c r="F8" s="42" t="n">
        <v>0.7</v>
      </c>
      <c r="G8" s="14" t="n">
        <v>3</v>
      </c>
      <c r="H8" s="14" t="n">
        <v>15</v>
      </c>
      <c r="I8" s="14">
        <f>((D8*(1-F8)+D8*F8*0.1)*G8+E8*H8)/1000000</f>
        <v/>
      </c>
    </row>
    <row r="9">
      <c r="A9" s="6" t="inlineStr">
        <is>
          <t>Dev (MVP)</t>
        </is>
      </c>
      <c r="B9" s="6" t="inlineStr">
        <is>
          <t>Per-story review (35 stories)</t>
        </is>
      </c>
      <c r="C9" s="6" t="inlineStr">
        <is>
          <t>Sonnet 4.6</t>
        </is>
      </c>
      <c r="D9" s="41" t="n">
        <v>7000000</v>
      </c>
      <c r="E9" s="41" t="n">
        <v>1750000</v>
      </c>
      <c r="F9" s="42" t="n">
        <v>0.6</v>
      </c>
      <c r="G9" s="14" t="n">
        <v>3</v>
      </c>
      <c r="H9" s="14" t="n">
        <v>15</v>
      </c>
      <c r="I9" s="14">
        <f>((D9*(1-F9)+D9*F9*0.1)*G9+E9*H9)/1000000</f>
        <v/>
      </c>
    </row>
    <row r="10">
      <c r="A10" s="6" t="inlineStr">
        <is>
          <t>Dev (MVP)</t>
        </is>
      </c>
      <c r="B10" s="6" t="inlineStr">
        <is>
          <t>2nd-terminal coordination premium</t>
        </is>
      </c>
      <c r="C10" s="6" t="inlineStr">
        <is>
          <t>Sonnet 4.6</t>
        </is>
      </c>
      <c r="D10" s="41" t="n">
        <v>1500000</v>
      </c>
      <c r="E10" s="41" t="n">
        <v>300000</v>
      </c>
      <c r="F10" s="42" t="n">
        <v>0.7</v>
      </c>
      <c r="G10" s="14" t="n">
        <v>3</v>
      </c>
      <c r="H10" s="14" t="n">
        <v>15</v>
      </c>
      <c r="I10" s="14">
        <f>((D10*(1-F10)+D10*F10*0.1)*G10+E10*H10)/1000000</f>
        <v/>
      </c>
    </row>
    <row r="11">
      <c r="A11" s="6" t="inlineStr">
        <is>
          <t>Dev (MVP)</t>
        </is>
      </c>
      <c r="B11" s="6" t="inlineStr">
        <is>
          <t>Debugging + rework buffer</t>
        </is>
      </c>
      <c r="C11" s="6" t="inlineStr">
        <is>
          <t>Sonnet 4.6</t>
        </is>
      </c>
      <c r="D11" s="41" t="n">
        <v>1500000</v>
      </c>
      <c r="E11" s="41" t="n">
        <v>300000</v>
      </c>
      <c r="F11" s="42" t="n">
        <v>0.5</v>
      </c>
      <c r="G11" s="14" t="n">
        <v>3</v>
      </c>
      <c r="H11" s="14" t="n">
        <v>15</v>
      </c>
      <c r="I11" s="14">
        <f>((D11*(1-F11)+D11*F11*0.1)*G11+E11*H11)/1000000</f>
        <v/>
      </c>
    </row>
    <row r="12">
      <c r="A12" s="6" t="inlineStr">
        <is>
          <t>Prod MVP</t>
        </is>
      </c>
      <c r="B12" s="6" t="inlineStr">
        <is>
          <t>LLM anomaly — NOT IN MVP</t>
        </is>
      </c>
      <c r="C12" s="6" t="inlineStr">
        <is>
          <t>Sonnet 4.6</t>
        </is>
      </c>
      <c r="D12" s="41" t="n">
        <v>0</v>
      </c>
      <c r="E12" s="41" t="n">
        <v>0</v>
      </c>
      <c r="F12" s="42" t="n">
        <v>0</v>
      </c>
      <c r="G12" s="14" t="n">
        <v>3</v>
      </c>
      <c r="H12" s="14" t="n">
        <v>15</v>
      </c>
      <c r="I12" s="14">
        <f>((D12*(1-F12)+D12*F12*0.1)*G12+E12*H12)/1000000</f>
        <v/>
      </c>
    </row>
    <row r="13">
      <c r="A13" s="6" t="inlineStr">
        <is>
          <t>V2 (future)</t>
        </is>
      </c>
      <c r="B13" s="6" t="inlineStr">
        <is>
          <t>LLM anomaly per audit</t>
        </is>
      </c>
      <c r="C13" s="6" t="inlineStr">
        <is>
          <t>Sonnet 4.6</t>
        </is>
      </c>
      <c r="D13" s="41" t="n">
        <v>17000</v>
      </c>
      <c r="E13" s="41" t="n">
        <v>2000</v>
      </c>
      <c r="F13" s="42" t="n">
        <v>0.6</v>
      </c>
      <c r="G13" s="14" t="n">
        <v>3</v>
      </c>
      <c r="H13" s="14" t="n">
        <v>15</v>
      </c>
      <c r="I13" s="14">
        <f>((D13*(1-F13)+D13*F13*0.1)*G13+E13*H13)/1000000</f>
        <v/>
      </c>
    </row>
    <row r="14">
      <c r="A14" s="6" t="inlineStr">
        <is>
          <t>V2 (future)</t>
        </is>
      </c>
      <c r="B14" s="6" t="inlineStr">
        <is>
          <t>200 audits/mo monthly</t>
        </is>
      </c>
      <c r="C14" s="6" t="inlineStr">
        <is>
          <t>Sonnet 4.6</t>
        </is>
      </c>
      <c r="D14" s="41" t="n">
        <v>3400000</v>
      </c>
      <c r="E14" s="41" t="n">
        <v>400000</v>
      </c>
      <c r="F14" s="42" t="n">
        <v>0.6</v>
      </c>
      <c r="G14" s="14" t="n">
        <v>3</v>
      </c>
      <c r="H14" s="14" t="n">
        <v>15</v>
      </c>
      <c r="I14" s="14">
        <f>((D14*(1-F14)+D14*F14*0.1)*G14+E14*H14)/1000000</f>
        <v/>
      </c>
    </row>
    <row r="15">
      <c r="A15" s="6" t="inlineStr">
        <is>
          <t>V2 (future)</t>
        </is>
      </c>
      <c r="B15" s="6" t="inlineStr">
        <is>
          <t>If switch to Haiku 4.5 (200/mo)</t>
        </is>
      </c>
      <c r="C15" s="6" t="inlineStr">
        <is>
          <t>Haiku 4.5</t>
        </is>
      </c>
      <c r="D15" s="41" t="n">
        <v>3400000</v>
      </c>
      <c r="E15" s="41" t="n">
        <v>400000</v>
      </c>
      <c r="F15" s="42" t="n">
        <v>0.6</v>
      </c>
      <c r="G15" s="14" t="n">
        <v>1</v>
      </c>
      <c r="H15" s="14" t="n">
        <v>5</v>
      </c>
      <c r="I15" s="14">
        <f>((D15*(1-F15)+D15*F15*0.1)*G15+E15*H15)/1000000</f>
        <v/>
      </c>
    </row>
    <row r="16">
      <c r="A16" s="6" t="inlineStr">
        <is>
          <t>V2 (future)</t>
        </is>
      </c>
      <c r="B16" s="6" t="inlineStr">
        <is>
          <t>If switch to Opus 4.7 (200/mo)</t>
        </is>
      </c>
      <c r="C16" s="6" t="inlineStr">
        <is>
          <t>Opus 4.7</t>
        </is>
      </c>
      <c r="D16" s="41" t="n">
        <v>3400000</v>
      </c>
      <c r="E16" s="41" t="n">
        <v>400000</v>
      </c>
      <c r="F16" s="42" t="n">
        <v>0.6</v>
      </c>
      <c r="G16" s="14" t="n">
        <v>15</v>
      </c>
      <c r="H16" s="14" t="n">
        <v>75</v>
      </c>
      <c r="I16" s="14">
        <f>((D16*(1-F16)+D16*F16*0.1)*G16+E16*H16)/1000000</f>
        <v/>
      </c>
    </row>
    <row r="17">
      <c r="A17" s="30" t="n"/>
      <c r="B17" s="30" t="inlineStr">
        <is>
          <t>DEV MVP API-equivalent cost (covered by $400 Max sub)</t>
        </is>
      </c>
      <c r="C17" s="30" t="n"/>
      <c r="D17" s="30" t="n"/>
      <c r="E17" s="30" t="n"/>
      <c r="F17" s="30" t="n"/>
      <c r="G17" s="30" t="n"/>
      <c r="H17" s="30" t="n"/>
      <c r="I17" s="32">
        <f>SUM(I8:I11)</f>
        <v/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75569"/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3" customWidth="1" min="4" max="4"/>
    <col width="50" customWidth="1" min="5" max="5"/>
    <col width="22" customWidth="1" min="6" max="6"/>
  </cols>
  <sheetData>
    <row r="1" ht="30" customHeight="1">
      <c r="A1" s="23" t="inlineStr">
        <is>
          <t>Assumptions (tune these to model scenarios)</t>
        </is>
      </c>
    </row>
    <row r="3" ht="28" customHeight="1">
      <c r="A3" s="3" t="inlineStr">
        <is>
          <t>ID</t>
        </is>
      </c>
      <c r="B3" s="3" t="inlineStr">
        <is>
          <t>Assumption</t>
        </is>
      </c>
      <c r="C3" s="3" t="inlineStr">
        <is>
          <t>Current Value</t>
        </is>
      </c>
      <c r="D3" s="3" t="inlineStr">
        <is>
          <t>Sensitivity</t>
        </is>
      </c>
      <c r="E3" s="3" t="inlineStr">
        <is>
          <t>If Wrong</t>
        </is>
      </c>
      <c r="F3" s="3" t="inlineStr">
        <is>
          <t>Source</t>
        </is>
      </c>
    </row>
    <row r="4">
      <c r="A4" s="43" t="inlineStr">
        <is>
          <t>A1</t>
        </is>
      </c>
      <c r="B4" s="44" t="inlineStr">
        <is>
          <t>Your hourly rate</t>
        </is>
      </c>
      <c r="C4" s="44" t="inlineStr">
        <is>
          <t>$20/hour</t>
        </is>
      </c>
      <c r="D4" s="45" t="inlineStr">
        <is>
          <t>High</t>
        </is>
      </c>
      <c r="E4" s="44" t="inlineStr">
        <is>
          <t>Every $5 change = ~$1,150 on project</t>
        </is>
      </c>
      <c r="F4" s="44" t="inlineStr">
        <is>
          <t>User-stated</t>
        </is>
      </c>
    </row>
    <row r="5">
      <c r="A5" s="43" t="inlineStr">
        <is>
          <t>A2</t>
        </is>
      </c>
      <c r="B5" s="44" t="inlineStr">
        <is>
          <t>MVP Claude work-hours (all stories)</t>
        </is>
      </c>
      <c r="C5" s="44" t="inlineStr">
        <is>
          <t>~320 hours</t>
        </is>
      </c>
      <c r="D5" s="45" t="inlineStr">
        <is>
          <t>High</t>
        </is>
      </c>
      <c r="E5" s="44" t="inlineStr">
        <is>
          <t>+50 hrs = +$715 your time</t>
        </is>
      </c>
      <c r="F5" s="44" t="inlineStr">
        <is>
          <t>Per-story estimates</t>
        </is>
      </c>
    </row>
    <row r="6">
      <c r="A6" s="43" t="inlineStr">
        <is>
          <t>A3</t>
        </is>
      </c>
      <c r="B6" s="44" t="inlineStr">
        <is>
          <t>2-terminal parallelism efficiency</t>
        </is>
      </c>
      <c r="C6" s="44" t="inlineStr">
        <is>
          <t>1.4x</t>
        </is>
      </c>
      <c r="D6" s="45" t="inlineStr">
        <is>
          <t>High</t>
        </is>
      </c>
      <c r="E6" s="44" t="inlineStr">
        <is>
          <t>1.2x = +$660; 1.6x = -$410</t>
        </is>
      </c>
      <c r="F6" s="44" t="inlineStr">
        <is>
          <t>Attention/review analysis</t>
        </is>
      </c>
    </row>
    <row r="7">
      <c r="A7" s="43" t="inlineStr">
        <is>
          <t>A4</t>
        </is>
      </c>
      <c r="B7" s="44" t="inlineStr">
        <is>
          <t>Your effective hours (320 / 1.4)</t>
        </is>
      </c>
      <c r="C7" s="44" t="inlineStr">
        <is>
          <t>~230 hours</t>
        </is>
      </c>
      <c r="D7" s="45" t="inlineStr">
        <is>
          <t>High</t>
        </is>
      </c>
      <c r="E7" s="44" t="inlineStr">
        <is>
          <t>Drives labor cost directly</t>
        </is>
      </c>
      <c r="F7" s="44" t="inlineStr">
        <is>
          <t>Derived</t>
        </is>
      </c>
    </row>
    <row r="8">
      <c r="A8" s="43" t="inlineStr">
        <is>
          <t>A5</t>
        </is>
      </c>
      <c r="B8" s="44" t="inlineStr">
        <is>
          <t>Project duration — MVP build</t>
        </is>
      </c>
      <c r="C8" s="44" t="inlineStr">
        <is>
          <t>6 weeks full-time</t>
        </is>
      </c>
      <c r="D8" s="45" t="inlineStr">
        <is>
          <t>High</t>
        </is>
      </c>
      <c r="E8" s="44" t="inlineStr">
        <is>
          <t>+1 week = +$240 carry cost</t>
        </is>
      </c>
      <c r="F8" s="44" t="inlineStr">
        <is>
          <t>40 hrs/wk × 5.75 weeks</t>
        </is>
      </c>
    </row>
    <row r="9">
      <c r="A9" s="43" t="inlineStr">
        <is>
          <t>A6</t>
        </is>
      </c>
      <c r="B9" s="44" t="inlineStr">
        <is>
          <t>Calendar duration (build + launch)</t>
        </is>
      </c>
      <c r="C9" s="44" t="inlineStr">
        <is>
          <t>2 months</t>
        </is>
      </c>
      <c r="D9" s="46" t="inlineStr">
        <is>
          <t>Medium</t>
        </is>
      </c>
      <c r="E9" s="44" t="inlineStr">
        <is>
          <t>Launch month accounts for prod Azure</t>
        </is>
      </c>
      <c r="F9" s="44" t="inlineStr">
        <is>
          <t>Plan assumption</t>
        </is>
      </c>
    </row>
    <row r="10">
      <c r="A10" s="43" t="inlineStr">
        <is>
          <t>A7</t>
        </is>
      </c>
      <c r="B10" s="44" t="inlineStr">
        <is>
          <t>Claude plan</t>
        </is>
      </c>
      <c r="C10" s="44" t="inlineStr">
        <is>
          <t>Max 20x ($200/mo)</t>
        </is>
      </c>
      <c r="D10" s="45" t="inlineStr">
        <is>
          <t>High</t>
        </is>
      </c>
      <c r="E10" s="44" t="inlineStr">
        <is>
          <t>Pro = rate-limit hell with 2 terminals</t>
        </is>
      </c>
      <c r="F10" s="44" t="inlineStr">
        <is>
          <t>Max 20x required</t>
        </is>
      </c>
    </row>
    <row r="11">
      <c r="A11" s="43" t="inlineStr">
        <is>
          <t>A8</t>
        </is>
      </c>
      <c r="B11" s="44" t="inlineStr">
        <is>
          <t>MVP scope</t>
        </is>
      </c>
      <c r="C11" s="44" t="inlineStr">
        <is>
          <t>Refrigeration + PDF email</t>
        </is>
      </c>
      <c r="D11" s="45" t="inlineStr">
        <is>
          <t>High</t>
        </is>
      </c>
      <c r="E11" s="44" t="inlineStr">
        <is>
          <t>HVAC/Lighting added back = +150 hrs</t>
        </is>
      </c>
      <c r="F11" s="44" t="inlineStr">
        <is>
          <t>Aggressive cut</t>
        </is>
      </c>
    </row>
    <row r="12">
      <c r="A12" s="43" t="inlineStr">
        <is>
          <t>A9</t>
        </is>
      </c>
      <c r="B12" s="44" t="inlineStr">
        <is>
          <t>Hired developer</t>
        </is>
      </c>
      <c r="C12" s="44" t="inlineStr">
        <is>
          <t>No</t>
        </is>
      </c>
      <c r="D12" s="47" t="inlineStr">
        <is>
          <t>Low</t>
        </is>
      </c>
      <c r="E12" s="44" t="inlineStr">
        <is>
          <t>Post-MVP contractor possible $60/hr × 50hr = +$3k</t>
        </is>
      </c>
      <c r="F12" s="44" t="inlineStr">
        <is>
          <t>LLM-first solo build</t>
        </is>
      </c>
    </row>
    <row r="13">
      <c r="A13" s="43" t="inlineStr">
        <is>
          <t>A10</t>
        </is>
      </c>
      <c r="B13" s="44" t="inlineStr">
        <is>
          <t>Audits per month at launch</t>
        </is>
      </c>
      <c r="C13" s="44" t="inlineStr">
        <is>
          <t>&lt;50 (beta)</t>
        </is>
      </c>
      <c r="D13" s="46" t="inlineStr">
        <is>
          <t>Medium</t>
        </is>
      </c>
      <c r="E13" s="44" t="inlineStr">
        <is>
          <t>&gt;100 forces tier upgrades</t>
        </is>
      </c>
      <c r="F13" s="44" t="inlineStr">
        <is>
          <t>Internal use initially</t>
        </is>
      </c>
    </row>
    <row r="14">
      <c r="A14" s="43" t="inlineStr">
        <is>
          <t>A11</t>
        </is>
      </c>
      <c r="B14" s="44" t="inlineStr">
        <is>
          <t>Azure region</t>
        </is>
      </c>
      <c r="C14" s="44" t="inlineStr">
        <is>
          <t>Canada Central</t>
        </is>
      </c>
      <c r="D14" s="47" t="inlineStr">
        <is>
          <t>Low</t>
        </is>
      </c>
      <c r="E14" s="44" t="inlineStr">
        <is>
          <t>+/- 10% egress cost</t>
        </is>
      </c>
      <c r="F14" s="44" t="inlineStr">
        <is>
          <t>Locked</t>
        </is>
      </c>
    </row>
    <row r="15">
      <c r="A15" s="43" t="inlineStr">
        <is>
          <t>A12</t>
        </is>
      </c>
      <c r="B15" s="44" t="inlineStr">
        <is>
          <t>Reserved instances</t>
        </is>
      </c>
      <c r="C15" s="44" t="inlineStr">
        <is>
          <t>No (pay-as-you-go)</t>
        </is>
      </c>
      <c r="D15" s="46" t="inlineStr">
        <is>
          <t>Medium</t>
        </is>
      </c>
      <c r="E15" s="44" t="inlineStr">
        <is>
          <t>1yr reserved = -30% infra</t>
        </is>
      </c>
      <c r="F15" s="44" t="inlineStr">
        <is>
          <t>Revisit 6 months post-launch</t>
        </is>
      </c>
    </row>
    <row r="16">
      <c r="A16" s="43" t="inlineStr">
        <is>
          <t>A13</t>
        </is>
      </c>
      <c r="B16" s="44" t="inlineStr">
        <is>
          <t>Security audit pre-MVP-beta</t>
        </is>
      </c>
      <c r="C16" s="44" t="inlineStr">
        <is>
          <t>Skipped</t>
        </is>
      </c>
      <c r="D16" s="45" t="inlineStr">
        <is>
          <t>High</t>
        </is>
      </c>
      <c r="E16" s="44" t="inlineStr">
        <is>
          <t>Blocker for enterprise clients</t>
        </is>
      </c>
      <c r="F16" s="44" t="inlineStr">
        <is>
          <t>Internal MVP only</t>
        </is>
      </c>
    </row>
    <row r="17">
      <c r="A17" s="43" t="inlineStr">
        <is>
          <t>A14</t>
        </is>
      </c>
      <c r="B17" s="44" t="inlineStr">
        <is>
          <t>Legal lawyer review</t>
        </is>
      </c>
      <c r="C17" s="44" t="inlineStr">
        <is>
          <t>Skipped (templates)</t>
        </is>
      </c>
      <c r="D17" s="46" t="inlineStr">
        <is>
          <t>Medium</t>
        </is>
      </c>
      <c r="E17" s="44" t="inlineStr">
        <is>
          <t>Needed before billing clients</t>
        </is>
      </c>
      <c r="F17" s="44" t="inlineStr">
        <is>
          <t>Defer to V2</t>
        </is>
      </c>
    </row>
    <row r="18">
      <c r="A18" s="43" t="inlineStr">
        <is>
          <t>A15</t>
        </is>
      </c>
      <c r="B18" s="44" t="inlineStr">
        <is>
          <t>LLM anomaly flagging in MVP</t>
        </is>
      </c>
      <c r="C18" s="44" t="inlineStr">
        <is>
          <t>Deferred to V2</t>
        </is>
      </c>
      <c r="D18" s="46" t="inlineStr">
        <is>
          <t>Medium</t>
        </is>
      </c>
      <c r="E18" s="44" t="inlineStr">
        <is>
          <t>Save 24 hrs + $10/mo prod API</t>
        </is>
      </c>
      <c r="F18" s="44" t="inlineStr">
        <is>
          <t>User-accepted cut</t>
        </is>
      </c>
    </row>
    <row r="19">
      <c r="A19" s="43" t="inlineStr">
        <is>
          <t>A16</t>
        </is>
      </c>
      <c r="B19" s="44" t="inlineStr">
        <is>
          <t>Client portal in MVP</t>
        </is>
      </c>
      <c r="C19" s="44" t="inlineStr">
        <is>
          <t>Deferred to V2</t>
        </is>
      </c>
      <c r="D19" s="46" t="inlineStr">
        <is>
          <t>Medium</t>
        </is>
      </c>
      <c r="E19" s="44" t="inlineStr">
        <is>
          <t>Email PDF replaces it</t>
        </is>
      </c>
      <c r="F19" s="44" t="inlineStr">
        <is>
          <t>User-accepted cut</t>
        </is>
      </c>
    </row>
    <row r="20">
      <c r="A20" s="43" t="inlineStr">
        <is>
          <t>A17</t>
        </is>
      </c>
      <c r="B20" s="44" t="inlineStr">
        <is>
          <t>Python calc service</t>
        </is>
      </c>
      <c r="C20" s="44" t="inlineStr">
        <is>
          <t>Consolidated into Node</t>
        </is>
      </c>
      <c r="D20" s="47" t="inlineStr">
        <is>
          <t>Low</t>
        </is>
      </c>
      <c r="E20" s="44" t="inlineStr">
        <is>
          <t>Simpler deployment</t>
        </is>
      </c>
      <c r="F20" s="44" t="inlineStr">
        <is>
          <t>MVP simplification</t>
        </is>
      </c>
    </row>
    <row r="21">
      <c r="A21" s="43" t="inlineStr">
        <is>
          <t>A18</t>
        </is>
      </c>
      <c r="B21" s="44" t="inlineStr">
        <is>
          <t>SendGrid</t>
        </is>
      </c>
      <c r="C21" s="44" t="inlineStr">
        <is>
          <t>Free tier</t>
        </is>
      </c>
      <c r="D21" s="47" t="inlineStr">
        <is>
          <t>Low</t>
        </is>
      </c>
      <c r="E21" s="44" t="inlineStr">
        <is>
          <t>&gt;100 emails/day = +$20/mo</t>
        </is>
      </c>
      <c r="F21" s="44" t="inlineStr">
        <is>
          <t>MVP beta volume</t>
        </is>
      </c>
    </row>
    <row r="22">
      <c r="A22" s="43" t="inlineStr">
        <is>
          <t>A19</t>
        </is>
      </c>
      <c r="B22" s="44" t="inlineStr">
        <is>
          <t>Weather API</t>
        </is>
      </c>
      <c r="C22" s="44" t="inlineStr">
        <is>
          <t>Not needed in MVP</t>
        </is>
      </c>
      <c r="D22" s="47" t="inlineStr">
        <is>
          <t>Low</t>
        </is>
      </c>
      <c r="E22" s="44" t="inlineStr">
        <is>
          <t>Needed when baseline calc lands</t>
        </is>
      </c>
      <c r="F22" s="44" t="inlineStr">
        <is>
          <t>Deferred</t>
        </is>
      </c>
    </row>
    <row r="23">
      <c r="A23" s="43" t="inlineStr">
        <is>
          <t>A20</t>
        </is>
      </c>
      <c r="B23" s="44" t="inlineStr">
        <is>
          <t>Contingency buffer</t>
        </is>
      </c>
      <c r="C23" s="44" t="inlineStr">
        <is>
          <t>15%</t>
        </is>
      </c>
      <c r="D23" s="46" t="inlineStr">
        <is>
          <t>Medium</t>
        </is>
      </c>
      <c r="E23" s="44" t="inlineStr">
        <is>
          <t>Risky = 25%</t>
        </is>
      </c>
      <c r="F23" s="44" t="inlineStr">
        <is>
          <t>Standard PM practice</t>
        </is>
      </c>
    </row>
    <row r="24">
      <c r="A24" s="43" t="inlineStr">
        <is>
          <t>A21</t>
        </is>
      </c>
      <c r="B24" s="44" t="inlineStr">
        <is>
          <t>Epic 0 spikes completion</t>
        </is>
      </c>
      <c r="C24" s="44" t="inlineStr">
        <is>
          <t>Before feature work</t>
        </is>
      </c>
      <c r="D24" s="45" t="inlineStr">
        <is>
          <t>High</t>
        </is>
      </c>
      <c r="E24" s="44" t="inlineStr">
        <is>
          <t>RLS failure = rebuild security model</t>
        </is>
      </c>
      <c r="F24" s="44" t="inlineStr">
        <is>
          <t>Non-negotiable gate</t>
        </is>
      </c>
    </row>
    <row r="25">
      <c r="A25" s="43" t="inlineStr">
        <is>
          <t>A22</t>
        </is>
      </c>
      <c r="B25" s="44" t="inlineStr">
        <is>
          <t>Design tokens minimal (Tailwind)</t>
        </is>
      </c>
      <c r="C25" s="44" t="inlineStr">
        <is>
          <t>Yes</t>
        </is>
      </c>
      <c r="D25" s="47" t="inlineStr">
        <is>
          <t>Low</t>
        </is>
      </c>
      <c r="E25" s="44" t="inlineStr">
        <is>
          <t>Save 6-8 hrs vs full system</t>
        </is>
      </c>
      <c r="F25" s="44" t="inlineStr">
        <is>
          <t>MVP simplification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C2626"/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40" customWidth="1" min="5" max="5"/>
    <col width="14" customWidth="1" min="6" max="6"/>
    <col width="16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23" t="inlineStr">
        <is>
          <t>Actuals Log — record real spend as project progresses</t>
        </is>
      </c>
    </row>
    <row r="3" ht="28" customHeight="1">
      <c r="A3" s="3" t="inlineStr">
        <is>
          <t>Date</t>
        </is>
      </c>
      <c r="B3" s="3" t="inlineStr">
        <is>
          <t>Category</t>
        </is>
      </c>
      <c r="C3" s="3" t="inlineStr">
        <is>
          <t>Subcategory</t>
        </is>
      </c>
      <c r="D3" s="3" t="inlineStr">
        <is>
          <t>Vendor</t>
        </is>
      </c>
      <c r="E3" s="3" t="inlineStr">
        <is>
          <t>Description</t>
        </is>
      </c>
      <c r="F3" s="3" t="inlineStr">
        <is>
          <t>Amount (USD)</t>
        </is>
      </c>
      <c r="G3" s="3" t="inlineStr">
        <is>
          <t>Payment Method</t>
        </is>
      </c>
      <c r="H3" s="3" t="inlineStr">
        <is>
          <t>Invoice #</t>
        </is>
      </c>
      <c r="I3" s="3" t="inlineStr">
        <is>
          <t>Linked To</t>
        </is>
      </c>
      <c r="J3" s="3" t="inlineStr">
        <is>
          <t>Notes</t>
        </is>
      </c>
    </row>
    <row r="4">
      <c r="A4" s="6" t="inlineStr">
        <is>
          <t>2026-04-19</t>
        </is>
      </c>
      <c r="B4" s="6" t="inlineStr">
        <is>
          <t>Labor</t>
        </is>
      </c>
      <c r="C4" s="6" t="inlineStr">
        <is>
          <t>Planning</t>
        </is>
      </c>
      <c r="D4" s="6" t="inlineStr">
        <is>
          <t>Self</t>
        </is>
      </c>
      <c r="E4" s="6" t="inlineStr">
        <is>
          <t>PRD draft and architecture review</t>
        </is>
      </c>
      <c r="F4" s="48" t="n"/>
    </row>
    <row r="5">
      <c r="A5" s="6" t="inlineStr">
        <is>
          <t>2026-04-20</t>
        </is>
      </c>
      <c r="B5" s="6" t="inlineStr">
        <is>
          <t>Labor</t>
        </is>
      </c>
      <c r="C5" s="6" t="inlineStr">
        <is>
          <t>Story execution</t>
        </is>
      </c>
      <c r="D5" s="6" t="inlineStr">
        <is>
          <t>Self</t>
        </is>
      </c>
      <c r="E5" s="6" t="inlineStr">
        <is>
          <t>Story 0-1 Turborepo scaffold</t>
        </is>
      </c>
      <c r="F5" s="48" t="n"/>
    </row>
    <row r="6">
      <c r="A6" s="6" t="inlineStr">
        <is>
          <t>2026-04-22</t>
        </is>
      </c>
      <c r="B6" s="6" t="inlineStr">
        <is>
          <t>Labor</t>
        </is>
      </c>
      <c r="C6" s="6" t="inlineStr">
        <is>
          <t>Story execution</t>
        </is>
      </c>
      <c r="D6" s="6" t="inlineStr">
        <is>
          <t>Self</t>
        </is>
      </c>
      <c r="E6" s="6" t="inlineStr">
        <is>
          <t>Story 0-2 Azure infrastructure provisioning</t>
        </is>
      </c>
      <c r="F6" s="48" t="n"/>
    </row>
    <row r="7">
      <c r="A7" s="6" t="inlineStr">
        <is>
          <t>2026-04-24</t>
        </is>
      </c>
      <c r="B7" s="6" t="inlineStr">
        <is>
          <t>Labor</t>
        </is>
      </c>
      <c r="C7" s="6" t="inlineStr">
        <is>
          <t>Story execution</t>
        </is>
      </c>
      <c r="D7" s="6" t="inlineStr">
        <is>
          <t>Self</t>
        </is>
      </c>
      <c r="E7" s="6" t="inlineStr">
        <is>
          <t>Story 0-3 DB schema + RLS (partial)</t>
        </is>
      </c>
      <c r="F7" s="48" t="n"/>
    </row>
    <row r="8">
      <c r="A8" s="6" t="inlineStr">
        <is>
          <t>2026-04-25</t>
        </is>
      </c>
      <c r="B8" s="6" t="inlineStr">
        <is>
          <t>Labor</t>
        </is>
      </c>
      <c r="C8" s="6" t="inlineStr">
        <is>
          <t>Story execution</t>
        </is>
      </c>
      <c r="D8" s="6" t="inlineStr">
        <is>
          <t>Self</t>
        </is>
      </c>
      <c r="E8" s="6" t="inlineStr">
        <is>
          <t>Story 0-3 DB schema + RLS — completed (12 hrs est)</t>
        </is>
      </c>
      <c r="F8" s="48" t="n"/>
    </row>
    <row r="9">
      <c r="A9" s="6" t="inlineStr">
        <is>
          <t>2026-04-28</t>
        </is>
      </c>
      <c r="B9" s="6" t="inlineStr">
        <is>
          <t>Labor</t>
        </is>
      </c>
      <c r="C9" s="6" t="inlineStr">
        <is>
          <t>Story execution</t>
        </is>
      </c>
      <c r="D9" s="6" t="inlineStr">
        <is>
          <t>Self</t>
        </is>
      </c>
      <c r="E9" s="6" t="inlineStr">
        <is>
          <t>Story 0-4 Node.js API foundation + BullMQ — completed (12 hrs est)</t>
        </is>
      </c>
      <c r="F9" s="48" t="n"/>
    </row>
    <row r="10">
      <c r="A10" s="6" t="inlineStr">
        <is>
          <t>2026-04-28</t>
        </is>
      </c>
      <c r="B10" s="6" t="inlineStr">
        <is>
          <t>Labor</t>
        </is>
      </c>
      <c r="C10" s="6" t="inlineStr">
        <is>
          <t>Story execution</t>
        </is>
      </c>
      <c r="D10" s="6" t="inlineStr">
        <is>
          <t>Self</t>
        </is>
      </c>
      <c r="E10" s="6" t="inlineStr">
        <is>
          <t>Story 0-5 Python calc service scaffold — completed despite deferral (8 hrs est)</t>
        </is>
      </c>
      <c r="F10" s="48" t="n"/>
    </row>
    <row r="11">
      <c r="A11" s="6" t="inlineStr">
        <is>
          <t>2026-05-01</t>
        </is>
      </c>
      <c r="B11" s="6" t="inlineStr">
        <is>
          <t>Labor</t>
        </is>
      </c>
      <c r="C11" s="6" t="inlineStr">
        <is>
          <t>Story execution</t>
        </is>
      </c>
      <c r="D11" s="6" t="inlineStr">
        <is>
          <t>Self</t>
        </is>
      </c>
      <c r="E11" s="6" t="inlineStr">
        <is>
          <t>Story 0-6 CI/CD pipeline + OIDC/slot-swap — completed (10 hrs actual vs 6 est)</t>
        </is>
      </c>
      <c r="F11" s="48" t="n"/>
    </row>
    <row r="12">
      <c r="A12" s="6" t="inlineStr">
        <is>
          <t>2026-04-30</t>
        </is>
      </c>
      <c r="B12" s="6" t="inlineStr">
        <is>
          <t>Subscriptions</t>
        </is>
      </c>
      <c r="C12" s="6" t="inlineStr">
        <is>
          <t>Claude Max 20x</t>
        </is>
      </c>
      <c r="D12" s="6" t="inlineStr">
        <is>
          <t>Anthropic</t>
        </is>
      </c>
      <c r="E12" s="6" t="inlineStr">
        <is>
          <t>April subscription cycle</t>
        </is>
      </c>
      <c r="F12" s="48" t="n">
        <v>200</v>
      </c>
    </row>
    <row r="13">
      <c r="A13" s="6" t="n"/>
      <c r="B13" s="6" t="inlineStr">
        <is>
          <t>Subscriptions</t>
        </is>
      </c>
      <c r="C13" s="6" t="inlineStr">
        <is>
          <t>GitHub Free</t>
        </is>
      </c>
      <c r="D13" s="6" t="inlineStr">
        <is>
          <t>GitHub</t>
        </is>
      </c>
      <c r="E13" s="6" t="inlineStr">
        <is>
          <t>No charge</t>
        </is>
      </c>
      <c r="F13" s="48" t="n">
        <v>0</v>
      </c>
    </row>
    <row r="14">
      <c r="A14" s="6" t="n"/>
      <c r="B14" s="6" t="inlineStr">
        <is>
          <t>Infrastructure</t>
        </is>
      </c>
      <c r="C14" s="6" t="inlineStr">
        <is>
          <t>Azure dev environment</t>
        </is>
      </c>
      <c r="D14" s="6" t="inlineStr">
        <is>
          <t>Microsoft</t>
        </is>
      </c>
      <c r="E14" s="6" t="inlineStr">
        <is>
          <t>First bill ~30 days after provisioning</t>
        </is>
      </c>
      <c r="F14" s="48" t="n"/>
    </row>
    <row r="15">
      <c r="A15" s="6" t="n"/>
      <c r="B15" s="6" t="inlineStr">
        <is>
          <t>One-time</t>
        </is>
      </c>
      <c r="C15" s="6" t="inlineStr">
        <is>
          <t>Domain</t>
        </is>
      </c>
      <c r="D15" s="6" t="inlineStr">
        <is>
          <t>TBD registrar</t>
        </is>
      </c>
      <c r="E15" s="6" t="inlineStr">
        <is>
          <t>starenergy-cems.com (or similar)</t>
        </is>
      </c>
      <c r="F15" s="48" t="n">
        <v>15</v>
      </c>
    </row>
    <row r="16">
      <c r="A16" s="6" t="n"/>
      <c r="B16" s="6" t="inlineStr">
        <is>
          <t>One-time</t>
        </is>
      </c>
      <c r="C16" s="6" t="inlineStr">
        <is>
          <t>Legal templates</t>
        </is>
      </c>
      <c r="D16" s="6" t="inlineStr">
        <is>
          <t>Termly</t>
        </is>
      </c>
      <c r="E16" s="6" t="inlineStr">
        <is>
          <t>T&amp;Cs + Privacy</t>
        </is>
      </c>
      <c r="F16" s="48" t="n">
        <v>50</v>
      </c>
    </row>
    <row r="17">
      <c r="A17" s="5" t="n"/>
      <c r="B17" s="5" t="n"/>
      <c r="C17" s="5" t="n"/>
      <c r="D17" s="5" t="n"/>
      <c r="E17" s="5" t="n"/>
      <c r="F17" s="14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14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14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14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14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14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14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14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14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14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14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14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14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14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14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14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14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14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14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14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14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14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14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14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14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14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14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14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14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14" t="n"/>
      <c r="G46" s="5" t="n"/>
      <c r="H46" s="5" t="n"/>
      <c r="I46" s="5" t="n"/>
      <c r="J46" s="5" t="n"/>
    </row>
    <row r="48">
      <c r="A48" s="35" t="n"/>
      <c r="B48" s="35" t="n"/>
      <c r="C48" s="35" t="n"/>
      <c r="D48" s="35" t="n"/>
      <c r="E48" s="35" t="inlineStr">
        <is>
          <t>TOTAL ACTUAL SPEND (cash)</t>
        </is>
      </c>
      <c r="F48" s="38">
        <f>SUM(F4:F46)</f>
        <v/>
      </c>
      <c r="G48" s="35" t="n"/>
      <c r="H48" s="35" t="n"/>
      <c r="I48" s="35" t="n"/>
      <c r="J48" s="35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2026-05-03T05:13:58Z</dcterms:created>
  <dcterms:modified xsi:type="dcterms:W3CDTF">2026-05-03T05:13:58Z</dcterms:modified>
</cp:coreProperties>
</file>